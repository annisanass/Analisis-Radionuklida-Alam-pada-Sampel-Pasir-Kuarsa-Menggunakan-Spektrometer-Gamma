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SIKA\Semester 6\Kerja Mandiri Terpantau\Data Penelitian\"/>
    </mc:Choice>
  </mc:AlternateContent>
  <xr:revisionPtr revIDLastSave="0" documentId="13_ncr:1_{A3D3CC3F-53AC-43DB-BBC2-1507418DB039}" xr6:coauthVersionLast="47" xr6:coauthVersionMax="47" xr10:uidLastSave="{00000000-0000-0000-0000-000000000000}"/>
  <bookViews>
    <workbookView xWindow="-108" yWindow="-108" windowWidth="23256" windowHeight="12456" activeTab="10" xr2:uid="{1DF6D3F9-D775-45F6-AA95-7845D22F0FD6}"/>
  </bookViews>
  <sheets>
    <sheet name="Data Evaluasi Akhir" sheetId="8" r:id="rId1"/>
    <sheet name="Rekapitulasi Akhir" sheetId="10" r:id="rId2"/>
    <sheet name="Sumber Standar" sheetId="4" r:id="rId3"/>
    <sheet name="Rekapitulasi Laju Cacah" sheetId="11" r:id="rId4"/>
    <sheet name="Rekapitulasi (kasar)" sheetId="1" r:id="rId5"/>
    <sheet name="Data mentah " sheetId="2" r:id="rId6"/>
    <sheet name="Sheet3" sheetId="6" r:id="rId7"/>
    <sheet name="Data mentah 2" sheetId="7" r:id="rId8"/>
    <sheet name="Sheet6" sheetId="9" r:id="rId9"/>
    <sheet name="bg" sheetId="3" r:id="rId10"/>
    <sheet name="bg fix" sheetId="5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8" l="1"/>
  <c r="F42" i="8"/>
  <c r="E42" i="8"/>
  <c r="D42" i="8"/>
  <c r="C42" i="8"/>
  <c r="B42" i="8"/>
  <c r="U189" i="7"/>
  <c r="U190" i="7"/>
  <c r="U191" i="7"/>
  <c r="U192" i="7"/>
  <c r="U193" i="7"/>
  <c r="U194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AL7" i="9"/>
  <c r="AL11" i="9"/>
  <c r="AL15" i="9"/>
  <c r="AL19" i="9"/>
  <c r="AL23" i="9"/>
  <c r="AL27" i="9"/>
  <c r="AL31" i="9"/>
  <c r="AL35" i="9"/>
  <c r="AL39" i="9"/>
  <c r="AL43" i="9"/>
  <c r="AL47" i="9"/>
  <c r="AL51" i="9"/>
  <c r="AL55" i="9"/>
  <c r="AL59" i="9"/>
  <c r="AL63" i="9"/>
  <c r="AL67" i="9"/>
  <c r="AL71" i="9"/>
  <c r="AL75" i="9"/>
  <c r="AL79" i="9"/>
  <c r="AL83" i="9"/>
  <c r="AL87" i="9"/>
  <c r="AL91" i="9"/>
  <c r="AL95" i="9"/>
  <c r="AL99" i="9"/>
  <c r="AL103" i="9"/>
  <c r="AL107" i="9"/>
  <c r="AL111" i="9"/>
  <c r="AL115" i="9"/>
  <c r="AL119" i="9"/>
  <c r="AL123" i="9"/>
  <c r="AL127" i="9"/>
  <c r="AL131" i="9"/>
  <c r="AL135" i="9"/>
  <c r="AL139" i="9"/>
  <c r="AL143" i="9"/>
  <c r="AL147" i="9"/>
  <c r="AL151" i="9"/>
  <c r="AL155" i="9"/>
  <c r="AL3" i="9"/>
  <c r="AI9" i="7"/>
  <c r="AI10" i="7"/>
  <c r="AI11" i="7"/>
  <c r="AD6" i="9"/>
  <c r="AD9" i="9"/>
  <c r="AD12" i="9"/>
  <c r="AD15" i="9"/>
  <c r="AD18" i="9"/>
  <c r="AD21" i="9"/>
  <c r="AD24" i="9"/>
  <c r="AD27" i="9"/>
  <c r="AD30" i="9"/>
  <c r="AD33" i="9"/>
  <c r="AD36" i="9"/>
  <c r="AD39" i="9"/>
  <c r="AD42" i="9"/>
  <c r="AD45" i="9"/>
  <c r="AD48" i="9"/>
  <c r="AD51" i="9"/>
  <c r="AD54" i="9"/>
  <c r="AD57" i="9"/>
  <c r="AD60" i="9"/>
  <c r="AD63" i="9"/>
  <c r="AD66" i="9"/>
  <c r="AD69" i="9"/>
  <c r="AD72" i="9"/>
  <c r="AD75" i="9"/>
  <c r="AD78" i="9"/>
  <c r="AD81" i="9"/>
  <c r="AD84" i="9"/>
  <c r="AD87" i="9"/>
  <c r="AD90" i="9"/>
  <c r="AD93" i="9"/>
  <c r="AD96" i="9"/>
  <c r="AD99" i="9"/>
  <c r="AD102" i="9"/>
  <c r="AD105" i="9"/>
  <c r="AD108" i="9"/>
  <c r="AD111" i="9"/>
  <c r="AD114" i="9"/>
  <c r="AD117" i="9"/>
  <c r="AD3" i="9"/>
  <c r="O6" i="9"/>
  <c r="O9" i="9"/>
  <c r="O12" i="9"/>
  <c r="O15" i="9"/>
  <c r="O18" i="9"/>
  <c r="O21" i="9"/>
  <c r="O24" i="9"/>
  <c r="O27" i="9"/>
  <c r="O30" i="9"/>
  <c r="O33" i="9"/>
  <c r="O36" i="9"/>
  <c r="O39" i="9"/>
  <c r="O42" i="9"/>
  <c r="O45" i="9"/>
  <c r="O48" i="9"/>
  <c r="O51" i="9"/>
  <c r="O54" i="9"/>
  <c r="O57" i="9"/>
  <c r="O60" i="9"/>
  <c r="O63" i="9"/>
  <c r="O66" i="9"/>
  <c r="O69" i="9"/>
  <c r="O72" i="9"/>
  <c r="O75" i="9"/>
  <c r="O78" i="9"/>
  <c r="O81" i="9"/>
  <c r="O84" i="9"/>
  <c r="O87" i="9"/>
  <c r="O90" i="9"/>
  <c r="O93" i="9"/>
  <c r="O96" i="9"/>
  <c r="O99" i="9"/>
  <c r="O102" i="9"/>
  <c r="O105" i="9"/>
  <c r="O108" i="9"/>
  <c r="O111" i="9"/>
  <c r="O114" i="9"/>
  <c r="O117" i="9"/>
  <c r="O3" i="9"/>
  <c r="U4" i="7"/>
  <c r="U5" i="7"/>
  <c r="U6" i="7"/>
  <c r="U18" i="7"/>
  <c r="U19" i="7"/>
  <c r="U20" i="7"/>
  <c r="U32" i="7"/>
  <c r="U33" i="7"/>
  <c r="U34" i="7"/>
  <c r="U46" i="7"/>
  <c r="U47" i="7"/>
  <c r="U48" i="7"/>
  <c r="U60" i="7"/>
  <c r="U61" i="7"/>
  <c r="U62" i="7"/>
  <c r="U74" i="7"/>
  <c r="U75" i="7"/>
  <c r="U76" i="7"/>
  <c r="U88" i="7"/>
  <c r="U89" i="7"/>
  <c r="U90" i="7"/>
  <c r="U102" i="7"/>
  <c r="U103" i="7"/>
  <c r="U104" i="7"/>
  <c r="U116" i="7"/>
  <c r="U117" i="7"/>
  <c r="U118" i="7"/>
  <c r="U130" i="7"/>
  <c r="U131" i="7"/>
  <c r="U132" i="7"/>
  <c r="U186" i="7"/>
  <c r="U187" i="7"/>
  <c r="U188" i="7"/>
  <c r="U200" i="7"/>
  <c r="U201" i="7"/>
  <c r="U202" i="7"/>
  <c r="U214" i="7"/>
  <c r="U215" i="7"/>
  <c r="U216" i="7"/>
  <c r="U228" i="7"/>
  <c r="U229" i="7"/>
  <c r="U230" i="7"/>
  <c r="U242" i="7"/>
  <c r="U243" i="7"/>
  <c r="U244" i="7"/>
  <c r="U256" i="7"/>
  <c r="U257" i="7"/>
  <c r="U258" i="7"/>
  <c r="U270" i="7"/>
  <c r="U271" i="7"/>
  <c r="U272" i="7"/>
  <c r="U284" i="7"/>
  <c r="U285" i="7"/>
  <c r="U286" i="7"/>
  <c r="U298" i="7"/>
  <c r="U299" i="7"/>
  <c r="U300" i="7"/>
  <c r="U312" i="7"/>
  <c r="U313" i="7"/>
  <c r="U314" i="7"/>
  <c r="U326" i="7"/>
  <c r="U327" i="7"/>
  <c r="U328" i="7"/>
  <c r="U340" i="7"/>
  <c r="U341" i="7"/>
  <c r="U342" i="7"/>
  <c r="U354" i="7"/>
  <c r="U355" i="7"/>
  <c r="U356" i="7"/>
  <c r="U368" i="7"/>
  <c r="U369" i="7"/>
  <c r="U370" i="7"/>
  <c r="U382" i="7"/>
  <c r="U383" i="7"/>
  <c r="U384" i="7"/>
  <c r="U396" i="7"/>
  <c r="U397" i="7"/>
  <c r="U398" i="7"/>
  <c r="U410" i="7"/>
  <c r="U411" i="7"/>
  <c r="U412" i="7"/>
  <c r="U424" i="7"/>
  <c r="U425" i="7"/>
  <c r="U426" i="7"/>
  <c r="U438" i="7"/>
  <c r="U439" i="7"/>
  <c r="U440" i="7"/>
  <c r="U452" i="7"/>
  <c r="U453" i="7"/>
  <c r="U454" i="7"/>
  <c r="U466" i="7"/>
  <c r="U467" i="7"/>
  <c r="U468" i="7"/>
  <c r="U480" i="7"/>
  <c r="U481" i="7"/>
  <c r="U482" i="7"/>
  <c r="U494" i="7"/>
  <c r="U495" i="7"/>
  <c r="U496" i="7"/>
  <c r="U508" i="7"/>
  <c r="U509" i="7"/>
  <c r="U510" i="7"/>
  <c r="U522" i="7"/>
  <c r="U523" i="7"/>
  <c r="U524" i="7"/>
  <c r="U536" i="7"/>
  <c r="U537" i="7"/>
  <c r="U538" i="7"/>
  <c r="F71" i="9"/>
  <c r="F73" i="9"/>
  <c r="F75" i="9"/>
  <c r="F77" i="9"/>
  <c r="F79" i="9"/>
  <c r="F7" i="9"/>
  <c r="F9" i="9"/>
  <c r="F11" i="9"/>
  <c r="F13" i="9"/>
  <c r="F15" i="9"/>
  <c r="F17" i="9"/>
  <c r="F19" i="9"/>
  <c r="F21" i="9"/>
  <c r="F23" i="9"/>
  <c r="F25" i="9"/>
  <c r="F27" i="9"/>
  <c r="F29" i="9"/>
  <c r="F31" i="9"/>
  <c r="F33" i="9"/>
  <c r="F35" i="9"/>
  <c r="F37" i="9"/>
  <c r="F39" i="9"/>
  <c r="F41" i="9"/>
  <c r="F43" i="9"/>
  <c r="F45" i="9"/>
  <c r="F47" i="9"/>
  <c r="F49" i="9"/>
  <c r="F51" i="9"/>
  <c r="F53" i="9"/>
  <c r="F55" i="9"/>
  <c r="F57" i="9"/>
  <c r="F59" i="9"/>
  <c r="F61" i="9"/>
  <c r="F63" i="9"/>
  <c r="F65" i="9"/>
  <c r="F67" i="9"/>
  <c r="F69" i="9"/>
  <c r="F5" i="9"/>
  <c r="F3" i="9"/>
  <c r="U114" i="7"/>
  <c r="U115" i="7"/>
  <c r="AD2" i="7"/>
  <c r="AI547" i="7"/>
  <c r="AI546" i="7"/>
  <c r="AI545" i="7"/>
  <c r="AI544" i="7"/>
  <c r="AI543" i="7"/>
  <c r="AI542" i="7"/>
  <c r="AI541" i="7"/>
  <c r="AI540" i="7"/>
  <c r="AI539" i="7"/>
  <c r="AI538" i="7"/>
  <c r="AI537" i="7"/>
  <c r="AI536" i="7"/>
  <c r="AI535" i="7"/>
  <c r="AI534" i="7"/>
  <c r="AI533" i="7"/>
  <c r="AI532" i="7"/>
  <c r="AI531" i="7"/>
  <c r="AI530" i="7"/>
  <c r="AI529" i="7"/>
  <c r="AI528" i="7"/>
  <c r="AI527" i="7"/>
  <c r="AI526" i="7"/>
  <c r="AI525" i="7"/>
  <c r="AI524" i="7"/>
  <c r="AI523" i="7"/>
  <c r="AI522" i="7"/>
  <c r="AI521" i="7"/>
  <c r="AI520" i="7"/>
  <c r="AI519" i="7"/>
  <c r="AI518" i="7"/>
  <c r="AI517" i="7"/>
  <c r="AI516" i="7"/>
  <c r="AI515" i="7"/>
  <c r="AI514" i="7"/>
  <c r="AI513" i="7"/>
  <c r="AI512" i="7"/>
  <c r="AI511" i="7"/>
  <c r="AI510" i="7"/>
  <c r="AI509" i="7"/>
  <c r="AI508" i="7"/>
  <c r="AI507" i="7"/>
  <c r="AI506" i="7"/>
  <c r="AI505" i="7"/>
  <c r="AI504" i="7"/>
  <c r="AI503" i="7"/>
  <c r="AI502" i="7"/>
  <c r="AI501" i="7"/>
  <c r="AI500" i="7"/>
  <c r="AI499" i="7"/>
  <c r="AI498" i="7"/>
  <c r="AI497" i="7"/>
  <c r="AI496" i="7"/>
  <c r="AI495" i="7"/>
  <c r="AI494" i="7"/>
  <c r="AI493" i="7"/>
  <c r="AI492" i="7"/>
  <c r="AI491" i="7"/>
  <c r="AI490" i="7"/>
  <c r="AI489" i="7"/>
  <c r="AI488" i="7"/>
  <c r="AI487" i="7"/>
  <c r="AI486" i="7"/>
  <c r="AI485" i="7"/>
  <c r="AI484" i="7"/>
  <c r="AI483" i="7"/>
  <c r="AI482" i="7"/>
  <c r="AI481" i="7"/>
  <c r="AI480" i="7"/>
  <c r="AI479" i="7"/>
  <c r="AI478" i="7"/>
  <c r="AI477" i="7"/>
  <c r="AI476" i="7"/>
  <c r="AI475" i="7"/>
  <c r="AI474" i="7"/>
  <c r="AI473" i="7"/>
  <c r="AI472" i="7"/>
  <c r="AI471" i="7"/>
  <c r="AI470" i="7"/>
  <c r="AI469" i="7"/>
  <c r="AI468" i="7"/>
  <c r="AI467" i="7"/>
  <c r="AI466" i="7"/>
  <c r="AI465" i="7"/>
  <c r="AI464" i="7"/>
  <c r="AI463" i="7"/>
  <c r="AI462" i="7"/>
  <c r="AI461" i="7"/>
  <c r="AI460" i="7"/>
  <c r="AI459" i="7"/>
  <c r="AI458" i="7"/>
  <c r="AI457" i="7"/>
  <c r="AI456" i="7"/>
  <c r="AI455" i="7"/>
  <c r="AI454" i="7"/>
  <c r="AI453" i="7"/>
  <c r="AI452" i="7"/>
  <c r="AI451" i="7"/>
  <c r="AI450" i="7"/>
  <c r="AI449" i="7"/>
  <c r="AI448" i="7"/>
  <c r="AI447" i="7"/>
  <c r="AI446" i="7"/>
  <c r="AI445" i="7"/>
  <c r="AI444" i="7"/>
  <c r="AI443" i="7"/>
  <c r="AI442" i="7"/>
  <c r="AI441" i="7"/>
  <c r="AI440" i="7"/>
  <c r="AI439" i="7"/>
  <c r="AI438" i="7"/>
  <c r="AI437" i="7"/>
  <c r="AI436" i="7"/>
  <c r="AI435" i="7"/>
  <c r="AI434" i="7"/>
  <c r="AI433" i="7"/>
  <c r="AI432" i="7"/>
  <c r="AI431" i="7"/>
  <c r="AI430" i="7"/>
  <c r="AI429" i="7"/>
  <c r="AI428" i="7"/>
  <c r="AI427" i="7"/>
  <c r="AI426" i="7"/>
  <c r="AI425" i="7"/>
  <c r="AI424" i="7"/>
  <c r="AI423" i="7"/>
  <c r="AI422" i="7"/>
  <c r="AI421" i="7"/>
  <c r="AI420" i="7"/>
  <c r="AI419" i="7"/>
  <c r="AI418" i="7"/>
  <c r="AI417" i="7"/>
  <c r="AI416" i="7"/>
  <c r="AI415" i="7"/>
  <c r="AI414" i="7"/>
  <c r="AI413" i="7"/>
  <c r="AI412" i="7"/>
  <c r="AI411" i="7"/>
  <c r="AI410" i="7"/>
  <c r="AI409" i="7"/>
  <c r="AI408" i="7"/>
  <c r="AI407" i="7"/>
  <c r="AI406" i="7"/>
  <c r="AI405" i="7"/>
  <c r="AI404" i="7"/>
  <c r="AI403" i="7"/>
  <c r="AI402" i="7"/>
  <c r="AI401" i="7"/>
  <c r="AI400" i="7"/>
  <c r="AI399" i="7"/>
  <c r="AI398" i="7"/>
  <c r="AI397" i="7"/>
  <c r="AI396" i="7"/>
  <c r="AI395" i="7"/>
  <c r="AI394" i="7"/>
  <c r="AI393" i="7"/>
  <c r="AI392" i="7"/>
  <c r="AI391" i="7"/>
  <c r="AI390" i="7"/>
  <c r="AI389" i="7"/>
  <c r="AI388" i="7"/>
  <c r="AI387" i="7"/>
  <c r="AI386" i="7"/>
  <c r="AI385" i="7"/>
  <c r="AI384" i="7"/>
  <c r="AI383" i="7"/>
  <c r="AI382" i="7"/>
  <c r="AI381" i="7"/>
  <c r="AI380" i="7"/>
  <c r="AI379" i="7"/>
  <c r="AI378" i="7"/>
  <c r="AI377" i="7"/>
  <c r="AI376" i="7"/>
  <c r="AI375" i="7"/>
  <c r="AI374" i="7"/>
  <c r="AI373" i="7"/>
  <c r="AI372" i="7"/>
  <c r="AI371" i="7"/>
  <c r="AI370" i="7"/>
  <c r="AI369" i="7"/>
  <c r="AI368" i="7"/>
  <c r="AI367" i="7"/>
  <c r="AI366" i="7"/>
  <c r="AI365" i="7"/>
  <c r="AI364" i="7"/>
  <c r="AI363" i="7"/>
  <c r="AI362" i="7"/>
  <c r="AI361" i="7"/>
  <c r="AI360" i="7"/>
  <c r="AI359" i="7"/>
  <c r="AI358" i="7"/>
  <c r="AI357" i="7"/>
  <c r="AI356" i="7"/>
  <c r="AI355" i="7"/>
  <c r="AI354" i="7"/>
  <c r="AI353" i="7"/>
  <c r="AI352" i="7"/>
  <c r="AI351" i="7"/>
  <c r="AI350" i="7"/>
  <c r="AI349" i="7"/>
  <c r="AI348" i="7"/>
  <c r="AI347" i="7"/>
  <c r="AI346" i="7"/>
  <c r="AI345" i="7"/>
  <c r="AI344" i="7"/>
  <c r="AI343" i="7"/>
  <c r="AI342" i="7"/>
  <c r="AI341" i="7"/>
  <c r="AI340" i="7"/>
  <c r="AI339" i="7"/>
  <c r="AI338" i="7"/>
  <c r="AI337" i="7"/>
  <c r="AI336" i="7"/>
  <c r="AI335" i="7"/>
  <c r="AI334" i="7"/>
  <c r="AI333" i="7"/>
  <c r="AI332" i="7"/>
  <c r="AI331" i="7"/>
  <c r="AI330" i="7"/>
  <c r="AI329" i="7"/>
  <c r="AI328" i="7"/>
  <c r="AI327" i="7"/>
  <c r="AI326" i="7"/>
  <c r="AI325" i="7"/>
  <c r="AI324" i="7"/>
  <c r="AI323" i="7"/>
  <c r="AI322" i="7"/>
  <c r="AI321" i="7"/>
  <c r="AI320" i="7"/>
  <c r="AI319" i="7"/>
  <c r="AI318" i="7"/>
  <c r="AI317" i="7"/>
  <c r="AI316" i="7"/>
  <c r="AI315" i="7"/>
  <c r="AI314" i="7"/>
  <c r="AI313" i="7"/>
  <c r="AI312" i="7"/>
  <c r="AI311" i="7"/>
  <c r="AI310" i="7"/>
  <c r="AI309" i="7"/>
  <c r="AI308" i="7"/>
  <c r="AI307" i="7"/>
  <c r="AI306" i="7"/>
  <c r="AI305" i="7"/>
  <c r="AI304" i="7"/>
  <c r="AI303" i="7"/>
  <c r="AI302" i="7"/>
  <c r="AI301" i="7"/>
  <c r="AI300" i="7"/>
  <c r="AI299" i="7"/>
  <c r="AI298" i="7"/>
  <c r="AI297" i="7"/>
  <c r="AI296" i="7"/>
  <c r="AI295" i="7"/>
  <c r="AI294" i="7"/>
  <c r="AI293" i="7"/>
  <c r="AI292" i="7"/>
  <c r="AI291" i="7"/>
  <c r="AI290" i="7"/>
  <c r="AI289" i="7"/>
  <c r="AI288" i="7"/>
  <c r="AI287" i="7"/>
  <c r="AI286" i="7"/>
  <c r="AI285" i="7"/>
  <c r="AI284" i="7"/>
  <c r="AI283" i="7"/>
  <c r="AI282" i="7"/>
  <c r="AI281" i="7"/>
  <c r="AI280" i="7"/>
  <c r="AI279" i="7"/>
  <c r="AI278" i="7"/>
  <c r="AI277" i="7"/>
  <c r="AI276" i="7"/>
  <c r="AI275" i="7"/>
  <c r="AI274" i="7"/>
  <c r="AI273" i="7"/>
  <c r="AI272" i="7"/>
  <c r="AI271" i="7"/>
  <c r="AI270" i="7"/>
  <c r="AI269" i="7"/>
  <c r="AI268" i="7"/>
  <c r="AI267" i="7"/>
  <c r="AI266" i="7"/>
  <c r="AI265" i="7"/>
  <c r="AI264" i="7"/>
  <c r="AI263" i="7"/>
  <c r="AI262" i="7"/>
  <c r="AI261" i="7"/>
  <c r="AI260" i="7"/>
  <c r="AI259" i="7"/>
  <c r="AI258" i="7"/>
  <c r="AI257" i="7"/>
  <c r="AI256" i="7"/>
  <c r="AI255" i="7"/>
  <c r="AI254" i="7"/>
  <c r="AI253" i="7"/>
  <c r="AI252" i="7"/>
  <c r="AI251" i="7"/>
  <c r="AI250" i="7"/>
  <c r="AI249" i="7"/>
  <c r="AI248" i="7"/>
  <c r="AI247" i="7"/>
  <c r="AI246" i="7"/>
  <c r="AI245" i="7"/>
  <c r="AI244" i="7"/>
  <c r="AI243" i="7"/>
  <c r="AI242" i="7"/>
  <c r="AI241" i="7"/>
  <c r="AI240" i="7"/>
  <c r="AI239" i="7"/>
  <c r="AI238" i="7"/>
  <c r="AI237" i="7"/>
  <c r="AI236" i="7"/>
  <c r="AI235" i="7"/>
  <c r="AI234" i="7"/>
  <c r="AI233" i="7"/>
  <c r="AI232" i="7"/>
  <c r="AI231" i="7"/>
  <c r="AI230" i="7"/>
  <c r="AI229" i="7"/>
  <c r="AI228" i="7"/>
  <c r="AI227" i="7"/>
  <c r="AI226" i="7"/>
  <c r="AI225" i="7"/>
  <c r="AI224" i="7"/>
  <c r="AI223" i="7"/>
  <c r="AI222" i="7"/>
  <c r="AI221" i="7"/>
  <c r="AI220" i="7"/>
  <c r="AI219" i="7"/>
  <c r="AI218" i="7"/>
  <c r="AI217" i="7"/>
  <c r="AI216" i="7"/>
  <c r="AI215" i="7"/>
  <c r="AI214" i="7"/>
  <c r="AI213" i="7"/>
  <c r="AI212" i="7"/>
  <c r="AI211" i="7"/>
  <c r="AI210" i="7"/>
  <c r="AI209" i="7"/>
  <c r="AI208" i="7"/>
  <c r="AI207" i="7"/>
  <c r="AI206" i="7"/>
  <c r="AI205" i="7"/>
  <c r="AI204" i="7"/>
  <c r="AI203" i="7"/>
  <c r="AI202" i="7"/>
  <c r="AI201" i="7"/>
  <c r="AI200" i="7"/>
  <c r="AI199" i="7"/>
  <c r="AI198" i="7"/>
  <c r="AI197" i="7"/>
  <c r="AI196" i="7"/>
  <c r="AI195" i="7"/>
  <c r="AI194" i="7"/>
  <c r="AI193" i="7"/>
  <c r="AI192" i="7"/>
  <c r="AI191" i="7"/>
  <c r="AI190" i="7"/>
  <c r="AI189" i="7"/>
  <c r="AI188" i="7"/>
  <c r="AI187" i="7"/>
  <c r="AI186" i="7"/>
  <c r="AI185" i="7"/>
  <c r="AI184" i="7"/>
  <c r="AI183" i="7"/>
  <c r="AI182" i="7"/>
  <c r="AI181" i="7"/>
  <c r="AI180" i="7"/>
  <c r="AI179" i="7"/>
  <c r="AI178" i="7"/>
  <c r="AI177" i="7"/>
  <c r="AI176" i="7"/>
  <c r="AI175" i="7"/>
  <c r="AI174" i="7"/>
  <c r="AI173" i="7"/>
  <c r="AI172" i="7"/>
  <c r="AI171" i="7"/>
  <c r="AI170" i="7"/>
  <c r="AI169" i="7"/>
  <c r="AI168" i="7"/>
  <c r="AI167" i="7"/>
  <c r="AI166" i="7"/>
  <c r="AI165" i="7"/>
  <c r="AI164" i="7"/>
  <c r="AI163" i="7"/>
  <c r="AI162" i="7"/>
  <c r="AI161" i="7"/>
  <c r="AI160" i="7"/>
  <c r="AI159" i="7"/>
  <c r="AI158" i="7"/>
  <c r="AI157" i="7"/>
  <c r="AI156" i="7"/>
  <c r="AI155" i="7"/>
  <c r="AI154" i="7"/>
  <c r="AI153" i="7"/>
  <c r="AI152" i="7"/>
  <c r="AI151" i="7"/>
  <c r="AI150" i="7"/>
  <c r="AI149" i="7"/>
  <c r="AI148" i="7"/>
  <c r="AI147" i="7"/>
  <c r="AI146" i="7"/>
  <c r="AI145" i="7"/>
  <c r="AI144" i="7"/>
  <c r="AI143" i="7"/>
  <c r="AI142" i="7"/>
  <c r="AI141" i="7"/>
  <c r="AI140" i="7"/>
  <c r="AI139" i="7"/>
  <c r="AI138" i="7"/>
  <c r="AI137" i="7"/>
  <c r="AI136" i="7"/>
  <c r="AI135" i="7"/>
  <c r="AI134" i="7"/>
  <c r="AI133" i="7"/>
  <c r="AI132" i="7"/>
  <c r="AI131" i="7"/>
  <c r="AI130" i="7"/>
  <c r="AI129" i="7"/>
  <c r="AI128" i="7"/>
  <c r="AI127" i="7"/>
  <c r="AI126" i="7"/>
  <c r="AI125" i="7"/>
  <c r="AI124" i="7"/>
  <c r="AI123" i="7"/>
  <c r="AI122" i="7"/>
  <c r="AI121" i="7"/>
  <c r="AI120" i="7"/>
  <c r="AI119" i="7"/>
  <c r="AI118" i="7"/>
  <c r="AI117" i="7"/>
  <c r="AI116" i="7"/>
  <c r="AI115" i="7"/>
  <c r="AI114" i="7"/>
  <c r="AI113" i="7"/>
  <c r="AI112" i="7"/>
  <c r="AI111" i="7"/>
  <c r="AI110" i="7"/>
  <c r="AI109" i="7"/>
  <c r="AI108" i="7"/>
  <c r="AI107" i="7"/>
  <c r="AI106" i="7"/>
  <c r="AI105" i="7"/>
  <c r="AI104" i="7"/>
  <c r="AI103" i="7"/>
  <c r="AI102" i="7"/>
  <c r="AI101" i="7"/>
  <c r="AI100" i="7"/>
  <c r="AI99" i="7"/>
  <c r="AI98" i="7"/>
  <c r="AI97" i="7"/>
  <c r="AI96" i="7"/>
  <c r="AI95" i="7"/>
  <c r="AI94" i="7"/>
  <c r="AI93" i="7"/>
  <c r="AI92" i="7"/>
  <c r="AI91" i="7"/>
  <c r="AI90" i="7"/>
  <c r="AI89" i="7"/>
  <c r="AI88" i="7"/>
  <c r="AI87" i="7"/>
  <c r="AI86" i="7"/>
  <c r="AI85" i="7"/>
  <c r="AI84" i="7"/>
  <c r="AI83" i="7"/>
  <c r="AI82" i="7"/>
  <c r="AI81" i="7"/>
  <c r="AI80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62" i="7"/>
  <c r="AI61" i="7"/>
  <c r="AI60" i="7"/>
  <c r="AI59" i="7"/>
  <c r="AI58" i="7"/>
  <c r="AI57" i="7"/>
  <c r="AI56" i="7"/>
  <c r="AI55" i="7"/>
  <c r="AI54" i="7"/>
  <c r="AI53" i="7"/>
  <c r="AI52" i="7"/>
  <c r="AI51" i="7"/>
  <c r="AI50" i="7"/>
  <c r="AI49" i="7"/>
  <c r="AI48" i="7"/>
  <c r="AI47" i="7"/>
  <c r="AI46" i="7"/>
  <c r="AI45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3" i="7"/>
  <c r="AI4" i="7"/>
  <c r="AI5" i="7"/>
  <c r="AI6" i="7"/>
  <c r="AI7" i="7"/>
  <c r="AI8" i="7"/>
  <c r="AI12" i="7"/>
  <c r="AI13" i="7"/>
  <c r="AI14" i="7"/>
  <c r="AI15" i="7"/>
  <c r="AI2" i="7"/>
  <c r="U3" i="7"/>
  <c r="U12" i="7"/>
  <c r="U13" i="7"/>
  <c r="U14" i="7"/>
  <c r="U15" i="7"/>
  <c r="U16" i="7"/>
  <c r="U17" i="7"/>
  <c r="U26" i="7"/>
  <c r="U27" i="7"/>
  <c r="U28" i="7"/>
  <c r="U29" i="7"/>
  <c r="U30" i="7"/>
  <c r="U31" i="7"/>
  <c r="U40" i="7"/>
  <c r="U41" i="7"/>
  <c r="U42" i="7"/>
  <c r="U43" i="7"/>
  <c r="U44" i="7"/>
  <c r="U45" i="7"/>
  <c r="U54" i="7"/>
  <c r="U55" i="7"/>
  <c r="U56" i="7"/>
  <c r="U57" i="7"/>
  <c r="U58" i="7"/>
  <c r="U59" i="7"/>
  <c r="U68" i="7"/>
  <c r="U69" i="7"/>
  <c r="U70" i="7"/>
  <c r="U71" i="7"/>
  <c r="U72" i="7"/>
  <c r="U73" i="7"/>
  <c r="U82" i="7"/>
  <c r="U83" i="7"/>
  <c r="U84" i="7"/>
  <c r="U85" i="7"/>
  <c r="U86" i="7"/>
  <c r="U87" i="7"/>
  <c r="U96" i="7"/>
  <c r="U97" i="7"/>
  <c r="U98" i="7"/>
  <c r="U99" i="7"/>
  <c r="U100" i="7"/>
  <c r="U101" i="7"/>
  <c r="U110" i="7"/>
  <c r="U111" i="7"/>
  <c r="U112" i="7"/>
  <c r="U113" i="7"/>
  <c r="U124" i="7"/>
  <c r="U125" i="7"/>
  <c r="U126" i="7"/>
  <c r="U127" i="7"/>
  <c r="U128" i="7"/>
  <c r="U129" i="7"/>
  <c r="U138" i="7"/>
  <c r="U139" i="7"/>
  <c r="U140" i="7"/>
  <c r="U141" i="7"/>
  <c r="U142" i="7"/>
  <c r="U184" i="7"/>
  <c r="U185" i="7"/>
  <c r="U195" i="7"/>
  <c r="U196" i="7"/>
  <c r="U197" i="7"/>
  <c r="U198" i="7"/>
  <c r="U199" i="7"/>
  <c r="U208" i="7"/>
  <c r="U209" i="7"/>
  <c r="U210" i="7"/>
  <c r="U211" i="7"/>
  <c r="U212" i="7"/>
  <c r="U213" i="7"/>
  <c r="U222" i="7"/>
  <c r="U223" i="7"/>
  <c r="U224" i="7"/>
  <c r="U225" i="7"/>
  <c r="U226" i="7"/>
  <c r="U227" i="7"/>
  <c r="U236" i="7"/>
  <c r="U237" i="7"/>
  <c r="U238" i="7"/>
  <c r="U239" i="7"/>
  <c r="U240" i="7"/>
  <c r="U241" i="7"/>
  <c r="U250" i="7"/>
  <c r="U251" i="7"/>
  <c r="U252" i="7"/>
  <c r="U253" i="7"/>
  <c r="U254" i="7"/>
  <c r="U255" i="7"/>
  <c r="U264" i="7"/>
  <c r="U265" i="7"/>
  <c r="U266" i="7"/>
  <c r="U267" i="7"/>
  <c r="U268" i="7"/>
  <c r="U269" i="7"/>
  <c r="U278" i="7"/>
  <c r="U279" i="7"/>
  <c r="U280" i="7"/>
  <c r="U281" i="7"/>
  <c r="U282" i="7"/>
  <c r="U283" i="7"/>
  <c r="U292" i="7"/>
  <c r="U293" i="7"/>
  <c r="U294" i="7"/>
  <c r="U295" i="7"/>
  <c r="U296" i="7"/>
  <c r="U297" i="7"/>
  <c r="U306" i="7"/>
  <c r="U307" i="7"/>
  <c r="U308" i="7"/>
  <c r="U309" i="7"/>
  <c r="U310" i="7"/>
  <c r="U311" i="7"/>
  <c r="U320" i="7"/>
  <c r="U321" i="7"/>
  <c r="U322" i="7"/>
  <c r="U323" i="7"/>
  <c r="U324" i="7"/>
  <c r="U325" i="7"/>
  <c r="U334" i="7"/>
  <c r="U335" i="7"/>
  <c r="U336" i="7"/>
  <c r="U337" i="7"/>
  <c r="U338" i="7"/>
  <c r="U339" i="7"/>
  <c r="U348" i="7"/>
  <c r="U349" i="7"/>
  <c r="U350" i="7"/>
  <c r="U351" i="7"/>
  <c r="U352" i="7"/>
  <c r="U353" i="7"/>
  <c r="U362" i="7"/>
  <c r="U363" i="7"/>
  <c r="U364" i="7"/>
  <c r="U365" i="7"/>
  <c r="U366" i="7"/>
  <c r="U367" i="7"/>
  <c r="U376" i="7"/>
  <c r="U377" i="7"/>
  <c r="U378" i="7"/>
  <c r="U379" i="7"/>
  <c r="U380" i="7"/>
  <c r="U381" i="7"/>
  <c r="U390" i="7"/>
  <c r="U391" i="7"/>
  <c r="U392" i="7"/>
  <c r="U393" i="7"/>
  <c r="U394" i="7"/>
  <c r="U395" i="7"/>
  <c r="U404" i="7"/>
  <c r="U405" i="7"/>
  <c r="U406" i="7"/>
  <c r="U407" i="7"/>
  <c r="U408" i="7"/>
  <c r="U409" i="7"/>
  <c r="U418" i="7"/>
  <c r="U419" i="7"/>
  <c r="U420" i="7"/>
  <c r="U421" i="7"/>
  <c r="U422" i="7"/>
  <c r="U423" i="7"/>
  <c r="U432" i="7"/>
  <c r="U433" i="7"/>
  <c r="U434" i="7"/>
  <c r="U435" i="7"/>
  <c r="U436" i="7"/>
  <c r="U437" i="7"/>
  <c r="U446" i="7"/>
  <c r="U447" i="7"/>
  <c r="U448" i="7"/>
  <c r="U449" i="7"/>
  <c r="U450" i="7"/>
  <c r="U451" i="7"/>
  <c r="U460" i="7"/>
  <c r="U461" i="7"/>
  <c r="U462" i="7"/>
  <c r="U463" i="7"/>
  <c r="U464" i="7"/>
  <c r="U465" i="7"/>
  <c r="U474" i="7"/>
  <c r="U475" i="7"/>
  <c r="U476" i="7"/>
  <c r="U477" i="7"/>
  <c r="U478" i="7"/>
  <c r="U479" i="7"/>
  <c r="U488" i="7"/>
  <c r="U489" i="7"/>
  <c r="U490" i="7"/>
  <c r="U491" i="7"/>
  <c r="U492" i="7"/>
  <c r="U493" i="7"/>
  <c r="U502" i="7"/>
  <c r="U503" i="7"/>
  <c r="U504" i="7"/>
  <c r="U505" i="7"/>
  <c r="U506" i="7"/>
  <c r="U507" i="7"/>
  <c r="U516" i="7"/>
  <c r="U517" i="7"/>
  <c r="U518" i="7"/>
  <c r="U519" i="7"/>
  <c r="U520" i="7"/>
  <c r="U521" i="7"/>
  <c r="U530" i="7"/>
  <c r="U531" i="7"/>
  <c r="U532" i="7"/>
  <c r="U533" i="7"/>
  <c r="U534" i="7"/>
  <c r="U535" i="7"/>
  <c r="U544" i="7"/>
  <c r="U545" i="7"/>
  <c r="U546" i="7"/>
  <c r="U547" i="7"/>
  <c r="U2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34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20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06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492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78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64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50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36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22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08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394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80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66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52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38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24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10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296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82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68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54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40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26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12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198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84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70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56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42" i="7"/>
  <c r="L141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28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14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00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86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72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58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44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30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16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2" i="7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2" i="5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4" i="6"/>
  <c r="T7" i="1"/>
  <c r="I42" i="1" l="1"/>
  <c r="I14" i="1"/>
  <c r="H9" i="1"/>
  <c r="H34" i="1"/>
  <c r="H20" i="1"/>
  <c r="H6" i="1"/>
  <c r="I28" i="1"/>
  <c r="P7" i="1"/>
  <c r="K7" i="1"/>
  <c r="I34" i="1"/>
  <c r="I6" i="1" l="1"/>
  <c r="I20" i="1"/>
</calcChain>
</file>

<file path=xl/sharedStrings.xml><?xml version="1.0" encoding="utf-8"?>
<sst xmlns="http://schemas.openxmlformats.org/spreadsheetml/2006/main" count="2854" uniqueCount="265">
  <si>
    <t>Rekapitulasi Laju Cacah Setiap Sumber Standar pada Beberapa Sampel</t>
  </si>
  <si>
    <t>No Sampel</t>
  </si>
  <si>
    <t>Radionuklida</t>
  </si>
  <si>
    <t>Energi</t>
  </si>
  <si>
    <t>NetCountRate</t>
  </si>
  <si>
    <t>Error</t>
  </si>
  <si>
    <t>MdaRate</t>
  </si>
  <si>
    <t>Pb-214</t>
  </si>
  <si>
    <t>Bi-214</t>
  </si>
  <si>
    <t>K-40</t>
  </si>
  <si>
    <t>Pb-212</t>
  </si>
  <si>
    <t>Ac-228</t>
  </si>
  <si>
    <t>Tl-208</t>
  </si>
  <si>
    <t>4941/1000 x 250</t>
  </si>
  <si>
    <t>konsentrasi standar RGU</t>
  </si>
  <si>
    <t>konsentrasi sampel</t>
  </si>
  <si>
    <t>4.8761 laju cacah sampel x 1235.25</t>
  </si>
  <si>
    <t>konsentrasi standar RGTH</t>
  </si>
  <si>
    <t>3250 X 250/1000</t>
  </si>
  <si>
    <t>laju cacah sampel/0.70039   x 812.5</t>
  </si>
  <si>
    <t>konsentrasi standar RGK</t>
  </si>
  <si>
    <t>14000x250/1000</t>
  </si>
  <si>
    <t>laju cacah sampel/</t>
  </si>
  <si>
    <t>ac-228, k-40</t>
  </si>
  <si>
    <t>exclude 338.32</t>
  </si>
  <si>
    <t>exclude Tl-208 583</t>
  </si>
  <si>
    <t>k-40</t>
  </si>
  <si>
    <t>Tl-208, 2614, 510</t>
  </si>
  <si>
    <t>ex 1120</t>
  </si>
  <si>
    <t>ex pb-212</t>
  </si>
  <si>
    <t>ex 238</t>
  </si>
  <si>
    <t xml:space="preserve">ac-228 </t>
  </si>
  <si>
    <t xml:space="preserve">pb, bi (ex 1120), k, </t>
  </si>
  <si>
    <t>ex pb212</t>
  </si>
  <si>
    <t>ac</t>
  </si>
  <si>
    <t>no</t>
  </si>
  <si>
    <t>bg 3</t>
  </si>
  <si>
    <t>bg 21</t>
  </si>
  <si>
    <t>bg 24</t>
  </si>
  <si>
    <t>bg 30</t>
  </si>
  <si>
    <t>bg 33</t>
  </si>
  <si>
    <t>bg 42</t>
  </si>
  <si>
    <t>bg 46</t>
  </si>
  <si>
    <t>5.10734       0.03745       0.06931</t>
  </si>
  <si>
    <t>1.30573       0.01382       0.01810</t>
  </si>
  <si>
    <t>0.07566   5.10680E-03   9.84572E-03</t>
  </si>
  <si>
    <t>2.29309       0.01771       0.02131</t>
  </si>
  <si>
    <t>7.62116736E-03   1.17345E-03   1.86213E-03</t>
  </si>
  <si>
    <t>8.59256825E-03   1.15565E-03   1.66466E-03</t>
  </si>
  <si>
    <t>0.02429   1.63135E-03   1.17115E-03</t>
  </si>
  <si>
    <t>0.27102   7.45331E-03       0.01241</t>
  </si>
  <si>
    <t>0.06707   2.95433E-03   3.33426E-03</t>
  </si>
  <si>
    <t>1.28700       0.01263       0.01292</t>
  </si>
  <si>
    <t>0.24483   5.44105E-03   5.32458E-03</t>
  </si>
  <si>
    <t>16 Tl</t>
  </si>
  <si>
    <t>0.01055   1.20437E-03   1.51425E-03</t>
  </si>
  <si>
    <t>4.86460679E-03   1.16555E-03   2.17642E-03</t>
  </si>
  <si>
    <t>0.08908   3.52640E-03   4.40694E-03</t>
  </si>
  <si>
    <t>0.05511   3.42523E-03   5.77598E-03</t>
  </si>
  <si>
    <t>0.02165   1.52541E-03   9.72401E-04</t>
  </si>
  <si>
    <t>0.08278   3.81032E-03   5.76407E-03</t>
  </si>
  <si>
    <t>0.02083   1.63384E-03   1.78705E-03</t>
  </si>
  <si>
    <t>1.05124       0.01150       0.01214</t>
  </si>
  <si>
    <t>0.18977   4.76575E-03   4.52233E-03</t>
  </si>
  <si>
    <t>0.11395   4.22515E-03   5.92706E-03</t>
  </si>
  <si>
    <t>0.03119   1.95967E-03   1.99775E-03</t>
  </si>
  <si>
    <t>0.09602   3.14483E-03   1.30960E-03</t>
  </si>
  <si>
    <t>0.48205   7.95705E-03   9.09231E-03</t>
  </si>
  <si>
    <t>0.03244   3.30497E-03   6.48069E-03</t>
  </si>
  <si>
    <t>9.50656       0.03531       0.03926</t>
  </si>
  <si>
    <t>1.15151       0.01215       0.01330</t>
  </si>
  <si>
    <t>0.95806       0.01402       0.02335</t>
  </si>
  <si>
    <t>0.99172       0.01006   3.31869E-03</t>
  </si>
  <si>
    <t>0.21111   5.01651E-03   4.68929E-03</t>
  </si>
  <si>
    <t>0.03395   2.89451E-03   5.19031E-03</t>
  </si>
  <si>
    <t>5.91528       0.02765       0.02992</t>
  </si>
  <si>
    <t>0.03555   2.07777E-03   2.08236E-03</t>
  </si>
  <si>
    <t>0.29369   6.13311E-03   6.64662E-03</t>
  </si>
  <si>
    <t>0.17173   5.85873E-03   9.63603E-03</t>
  </si>
  <si>
    <t>0.01670   1.62192E-03   2.32815E-03</t>
  </si>
  <si>
    <t>0.15597   4.36122E-03   4.33541E-03</t>
  </si>
  <si>
    <t>0.08470   2.93523E-03   9.48404E-04</t>
  </si>
  <si>
    <t>0.09772   3.98896E-03   5.73077E-03</t>
  </si>
  <si>
    <t>7.47399723E-03   1.00094E-03   1.23084E-03</t>
  </si>
  <si>
    <t>8.39994598E-03   1.23285E-03   1.93057E-03</t>
  </si>
  <si>
    <t>6.12591590E-03   1.00868E-03   1.53130E-03</t>
  </si>
  <si>
    <t>0.04129   2.22608E-03   2.16462E-03</t>
  </si>
  <si>
    <t>0.02278   1.88537E-03   2.64423E-03</t>
  </si>
  <si>
    <t>0.02422   1.62396E-03   1.14006E-03</t>
  </si>
  <si>
    <t>0.05788   2.76831E-03   3.22331E-03</t>
  </si>
  <si>
    <t>0.02187   1.85407E-03   2.65123E-03</t>
  </si>
  <si>
    <t>0.01670   1.57978E-03   2.13756E-03</t>
  </si>
  <si>
    <t>1.65706565E-03   6.55421E-04   1.23857E-03</t>
  </si>
  <si>
    <t>2.01409147E-03   7.40150E-04   1.38279E-03</t>
  </si>
  <si>
    <t>6.39339711E-03   9.80983E-04   1.34716E-03</t>
  </si>
  <si>
    <t>5.66362907E-03   1.07968E-03   1.83172E-03</t>
  </si>
  <si>
    <t>3.98309696E-03   1.10982E-03   2.12719E-03</t>
  </si>
  <si>
    <t>7.82282185E-03   9.82833E-04   1.01739E-03</t>
  </si>
  <si>
    <t>0.01955   1.86804E-03   2.91133E-03</t>
  </si>
  <si>
    <t>0.01637   2.24190E-03   4.24651E-03</t>
  </si>
  <si>
    <t>3.57275827E-03   7.24376E-04   1.01263E-03</t>
  </si>
  <si>
    <t>3.76868604E-03   8.68210E-04   1.49226E-03</t>
  </si>
  <si>
    <t>5.02346103E-03   9.28514E-04   1.43409E-03</t>
  </si>
  <si>
    <t>0.01204   1.36731E-03   1.95761E-03</t>
  </si>
  <si>
    <t>5.01815533E-03   1.02071E-03   1.76261E-03</t>
  </si>
  <si>
    <t>9.83004792E-03   1.64882E-03   3.10088E-03</t>
  </si>
  <si>
    <t>7.89547497E-03   1.01709E-03   1.17115E-03</t>
  </si>
  <si>
    <t>0.01681   1.66528E-03   2.48110E-03</t>
  </si>
  <si>
    <t>0.02532   2.16194E-03   3.41776E-03</t>
  </si>
  <si>
    <t>0.02030   1.81900E-03   2.67555E-03</t>
  </si>
  <si>
    <t>1.38465114E-03   7.22851E-04   1.44396E-03</t>
  </si>
  <si>
    <t>2.73005397E-03   8.67629E-04   1.64619E-03</t>
  </si>
  <si>
    <t>5.29376422E-03   9.52073E-04   1.45862E-03</t>
  </si>
  <si>
    <t>0.01026   1.31976E-03   1.99073E-03</t>
  </si>
  <si>
    <t>4.05179971E-03   1.10383E-03   2.12664E-03</t>
  </si>
  <si>
    <t>0.01173   1.61546E-03   2.84351E-03</t>
  </si>
  <si>
    <t>7.72080318E-03   9.88364E-04   1.08170E-03</t>
  </si>
  <si>
    <t>0.01462   1.60233E-03   2.44959E-03</t>
  </si>
  <si>
    <t>0.02631   2.06570E-03   2.98337E-03</t>
  </si>
  <si>
    <t>1.43111753E-03   7.39788E-04   1.52048E-03</t>
  </si>
  <si>
    <t>0.02759   2.28966E-03   3.71284E-03</t>
  </si>
  <si>
    <t>5.71505475E-03   9.08140E-04   1.21915E-03</t>
  </si>
  <si>
    <t>6.43856350E-03   1.05594E-03   1.62823E-03</t>
  </si>
  <si>
    <t>0.01866   1.62032E-03   2.06211E-03</t>
  </si>
  <si>
    <t>7.51657227E-03   1.27971E-03   2.21877E-03</t>
  </si>
  <si>
    <t>0.01330   1.25907E-03   1.21915E-03</t>
  </si>
  <si>
    <t>2.93479845E-03   9.31236E-04   1.74321E-03</t>
  </si>
  <si>
    <t>4.52645680E-03   8.30178E-04   1.16295E-03</t>
  </si>
  <si>
    <t>7.45268164E-03   1.11793E-03   1.69612E-03</t>
  </si>
  <si>
    <t>0.11865   4.06888E-03   5.05944E-03</t>
  </si>
  <si>
    <t>0.03436   2.03433E-03   1.98133E-03</t>
  </si>
  <si>
    <t>0.03885   2.27261E-03   2.58402E-03</t>
  </si>
  <si>
    <t>0.89522       0.01070       0.01164</t>
  </si>
  <si>
    <t>0.16536   4.55651E-03   4.82300E-03</t>
  </si>
  <si>
    <t>0.02905   2.40415E-03   3.95231E-03</t>
  </si>
  <si>
    <t>0.04731   2.58085E-03   3.19856E-03</t>
  </si>
  <si>
    <t>2.28049099E-03   9.52945E-04   1.87964E-03</t>
  </si>
  <si>
    <t>8.33864759E-03   1.26600E-03   2.05191E-03</t>
  </si>
  <si>
    <t>0.01796   1.55011E-03   1.86966E-03</t>
  </si>
  <si>
    <t>0.01646   1.74520E-03   2.81370E-03</t>
  </si>
  <si>
    <t>0.03526   2.58996E-03   4.12133E-03</t>
  </si>
  <si>
    <t>7.21935520E-03   1.39179E-03   2.38188E-03</t>
  </si>
  <si>
    <t>0.05390   2.67165E-03   3.12310E-03</t>
  </si>
  <si>
    <t>5.75168753E-03   1.10992E-03   1.89760E-03</t>
  </si>
  <si>
    <t>0.05182   2.75020E-03   3.57012E-03</t>
  </si>
  <si>
    <t>0.03324   2.80617E-03   4.99762E-03</t>
  </si>
  <si>
    <t>0.03726   2.23602E-03   2.65428E-03</t>
  </si>
  <si>
    <t>5.44876038E-03   9.27617E-04   1.34716E-03</t>
  </si>
  <si>
    <t>3.51540314E-03   9.85270E-04   1.82660E-03</t>
  </si>
  <si>
    <t>0.01035   1.20304E-03   1.52822E-03</t>
  </si>
  <si>
    <t>0.11066   4.11214E-03   5.63803E-03</t>
  </si>
  <si>
    <t>0.02444   1.76566E-03   1.96476E-03</t>
  </si>
  <si>
    <t>0.01354   1.54538E-03   2.42485E-03</t>
  </si>
  <si>
    <t>0.02211   2.14748E-03   3.62981E-03</t>
  </si>
  <si>
    <t>4.92227556E-03   1.29177E-03   2.33960E-03</t>
  </si>
  <si>
    <t>0.02924   2.14740E-03   3.07250E-03</t>
  </si>
  <si>
    <t>0.01490   1.95992E-03   3.62443E-03</t>
  </si>
  <si>
    <t>0.01783   1.65158E-03   2.28688E-03</t>
  </si>
  <si>
    <t>2.58269194E-03   8.02712E-04   1.50173E-03</t>
  </si>
  <si>
    <t>6.79857680E-03   9.48573E-04   1.13585E-03</t>
  </si>
  <si>
    <t>7.75333934E-03   1.03533E-03   1.25102E-03</t>
  </si>
  <si>
    <t>8.89269081E-04   7.51825E-04   1.62679E-03</t>
  </si>
  <si>
    <t>0.23547   4.94686E-03   2.19876E-03</t>
  </si>
  <si>
    <t>0.47437   7.58819E-03   7.39975E-03</t>
  </si>
  <si>
    <t>8.52932050E-03   1.88460E-03   3.78258E-03</t>
  </si>
  <si>
    <t>0.31236   6.01913E-03   5.12894E-03</t>
  </si>
  <si>
    <t>0.05293   3.23525E-03   5.26656E-03</t>
  </si>
  <si>
    <t>0.02239   1.72821E-03   2.05418E-03</t>
  </si>
  <si>
    <t>0.01012   1.44564E-03   2.45621E-03</t>
  </si>
  <si>
    <t>3.32327326E-03   9.49123E-04   1.75327E-03</t>
  </si>
  <si>
    <t>0.01475   1.26267E-03   8.62261E-04</t>
  </si>
  <si>
    <t>4.05337352E-03   8.69806E-04   1.39559E-03</t>
  </si>
  <si>
    <t>1.50482838E-03   6.74287E-04   1.25862E-03</t>
  </si>
  <si>
    <t>1.80207970E-03   1.38119E-03   3.10088E-03</t>
  </si>
  <si>
    <t>1.88572791E-03   1.00729E-03   2.16139E-03</t>
  </si>
  <si>
    <t>5.96064095E-03   9.47023E-04   1.32404E-03</t>
  </si>
  <si>
    <t>1.38913775E-03   8.35581E-04   1.70578E-03</t>
  </si>
  <si>
    <t>0.02066   1.83686E-03   2.69794E-03</t>
  </si>
  <si>
    <t>2.83389289E-03   1.08993E-03   2.19929E-03</t>
  </si>
  <si>
    <t>4.25059009E-03   8.49273E-04   1.28762E-03</t>
  </si>
  <si>
    <t>2.51402524E-03   1.14658E-03   2.42532E-03</t>
  </si>
  <si>
    <t>2.20742784E-03   7.41248E-04   1.36292E-03</t>
  </si>
  <si>
    <t>4.06233169E-03   1.32101E-03   2.61607E-03</t>
  </si>
  <si>
    <t>1.79797173E-03   7.18631E-04   1.30960E-03</t>
  </si>
  <si>
    <t>3.96045035E-03   8.30777E-04   1.29315E-03</t>
  </si>
  <si>
    <t>3.27763326E-03   1.41448E-03   3.04346E-03</t>
  </si>
  <si>
    <t>4.14760062E-03   7.27797E-04   8.13968E-04</t>
  </si>
  <si>
    <t>0.02069   1.79773E-03   2.50758E-03</t>
  </si>
  <si>
    <t>bg 36</t>
  </si>
  <si>
    <t>2.36307566E-03   1.21104E-03   2.60810E-03</t>
  </si>
  <si>
    <t>1.54530782E-03   1.03764E-03   2.24999E-03</t>
  </si>
  <si>
    <t>2.30458016E-03   8.13178E-04   1.51113E-03</t>
  </si>
  <si>
    <t>3.99740564E-03   1.33749E-03   2.58939E-03</t>
  </si>
  <si>
    <t>2.83260855E-03   7.18905E-04   1.11452E-03</t>
  </si>
  <si>
    <t>0.01860   1.74525E-03   2.55200E-03</t>
  </si>
  <si>
    <t>bg 39</t>
  </si>
  <si>
    <t>4.41848929E-03   8.42530E-04   1.25957E-03</t>
  </si>
  <si>
    <t>1.88672686E-03   1.38571E-03   3.10088E-03</t>
  </si>
  <si>
    <t>5.35422799E-03   7.91961E-04   7.67179E-04</t>
  </si>
  <si>
    <t>1.11408085E-03   6.77987E-04   1.41916E-03</t>
  </si>
  <si>
    <t>0.01869   1.74975E-03   2.52599E-03</t>
  </si>
  <si>
    <t>1.92627594E-03   1.01957E-03   2.19981E-03</t>
  </si>
  <si>
    <t>5.82456694E-03   8.98674E-04   1.15882E-03</t>
  </si>
  <si>
    <t>5.38305027E-03   1.39081E-03   2.77400E-03</t>
  </si>
  <si>
    <t>1.55239747E-03   8.26740E-04   1.72290E-03</t>
  </si>
  <si>
    <t>0.01726   1.71497E-03   2.57144E-03</t>
  </si>
  <si>
    <t>7.27895836E-04   5.15589E-04   1.05236E-03</t>
  </si>
  <si>
    <t>bg 12</t>
  </si>
  <si>
    <t>4.91953725E-03   9.04189E-04   1.38536E-03</t>
  </si>
  <si>
    <t>5.00422438E-03   7.40935E-04   5.70206E-04</t>
  </si>
  <si>
    <t>0.01956   1.73051E-03   2.41141E-03</t>
  </si>
  <si>
    <t>bg 15</t>
  </si>
  <si>
    <t>1.62066232E-03   1.06385E-03   2.26235E-03</t>
  </si>
  <si>
    <t>7.32222385E-04   1.08585E-03   2.46469E-03</t>
  </si>
  <si>
    <t>3.64964633E-03   8.48698E-04   1.35156E-03</t>
  </si>
  <si>
    <t>4.28255032E-03   1.38573E-03   2.85688E-03</t>
  </si>
  <si>
    <t>bg 18</t>
  </si>
  <si>
    <t>2.54989236E-03   1.07074E-03   2.24015E-03</t>
  </si>
  <si>
    <t>4.88567598E-03   8.75573E-04   1.28762E-03</t>
  </si>
  <si>
    <t>1.99165015E-03   1.19302E-03   2.62667E-03</t>
  </si>
  <si>
    <t>1.55036564E-03   9.88655E-04   2.11511E-03</t>
  </si>
  <si>
    <t>4.74683058E-03   9.09928E-04   1.41079E-03</t>
  </si>
  <si>
    <t>3.27733442E-03   7.39495E-04   1.12524E-03</t>
  </si>
  <si>
    <t>8.57364847E-04   7.37542E-04   1.57831E-03</t>
  </si>
  <si>
    <t>0.02238   1.84202E-03   2.56016E-03</t>
  </si>
  <si>
    <t>3.73669548E-03   1.21742E-03   2.45998E-03</t>
  </si>
  <si>
    <t>5.48331908E-03   9.20196E-04   1.32404E-03</t>
  </si>
  <si>
    <t>3.54336247E-03   1.42475E-03   2.99880E-03</t>
  </si>
  <si>
    <t>5.27974089E-03   7.73136E-04   6.72062E-04</t>
  </si>
  <si>
    <t>0.02187   1.83811E-03   2.52508E-03</t>
  </si>
  <si>
    <t>bg 06</t>
  </si>
  <si>
    <t>2.24770840E-03   6.84161E-04   1.17115E-03</t>
  </si>
  <si>
    <t>LAJU CACAH SEBENARNYA</t>
  </si>
  <si>
    <t>laju cacah sebenarnya</t>
  </si>
  <si>
    <t>Nilai Cacah Murni</t>
  </si>
  <si>
    <t>Konsentrasi standar</t>
  </si>
  <si>
    <t>RGU-1</t>
  </si>
  <si>
    <t>RGTh-1</t>
  </si>
  <si>
    <t>RGK-1</t>
  </si>
  <si>
    <t>Konsentrasi sampel</t>
  </si>
  <si>
    <t>Cacah Standar</t>
  </si>
  <si>
    <t>No. Sampel</t>
  </si>
  <si>
    <t>Konsentrasi Radionuklida (Bq/Kg)</t>
  </si>
  <si>
    <t>Konsentrasi gabungan</t>
  </si>
  <si>
    <t>Intensitas</t>
  </si>
  <si>
    <t>desimal</t>
  </si>
  <si>
    <t>PB-214</t>
  </si>
  <si>
    <t>Cacahan</t>
  </si>
  <si>
    <t>konsentrasi gabungan</t>
  </si>
  <si>
    <t>Konsentrasi Gabungan</t>
  </si>
  <si>
    <t>Rata-rata</t>
  </si>
  <si>
    <t>Bg 3</t>
  </si>
  <si>
    <t>Bg 6</t>
  </si>
  <si>
    <t>Bg 12</t>
  </si>
  <si>
    <t>Bg 15</t>
  </si>
  <si>
    <t>Bg 21</t>
  </si>
  <si>
    <t>Bg 33</t>
  </si>
  <si>
    <t>Bg 36</t>
  </si>
  <si>
    <t>Bg 39</t>
  </si>
  <si>
    <t>Bg 42</t>
  </si>
  <si>
    <t>No.</t>
  </si>
  <si>
    <t>Bg 24</t>
  </si>
  <si>
    <t>Bg 18</t>
  </si>
  <si>
    <t>Bg 46</t>
  </si>
  <si>
    <t>Cacahan (cps)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</si>
</sst>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0.5"/>
      <color theme="1"/>
      <name val="Courier New"/>
      <family val="3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11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11" fontId="2" fillId="0" borderId="1" xfId="0" applyNumberFormat="1" applyFont="1" applyBorder="1"/>
    <xf numFmtId="11" fontId="2" fillId="0" borderId="1" xfId="0" applyNumberFormat="1" applyFont="1" applyBorder="1" applyAlignment="1">
      <alignment vertical="center"/>
    </xf>
    <xf numFmtId="11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1" fontId="1" fillId="3" borderId="1" xfId="0" applyNumberFormat="1" applyFont="1" applyFill="1" applyBorder="1"/>
    <xf numFmtId="0" fontId="1" fillId="3" borderId="1" xfId="0" applyFont="1" applyFill="1" applyBorder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4" borderId="0" xfId="0" applyFill="1"/>
    <xf numFmtId="11" fontId="2" fillId="0" borderId="0" xfId="0" applyNumberFormat="1" applyFont="1"/>
    <xf numFmtId="11" fontId="0" fillId="0" borderId="0" xfId="0" applyNumberFormat="1"/>
    <xf numFmtId="0" fontId="0" fillId="7" borderId="1" xfId="0" applyFill="1" applyBorder="1"/>
    <xf numFmtId="0" fontId="1" fillId="7" borderId="1" xfId="0" applyFont="1" applyFill="1" applyBorder="1"/>
    <xf numFmtId="0" fontId="2" fillId="7" borderId="0" xfId="0" applyFont="1" applyFill="1"/>
    <xf numFmtId="0" fontId="2" fillId="7" borderId="1" xfId="0" applyFont="1" applyFill="1" applyBorder="1"/>
    <xf numFmtId="11" fontId="2" fillId="7" borderId="1" xfId="0" applyNumberFormat="1" applyFont="1" applyFill="1" applyBorder="1"/>
    <xf numFmtId="11" fontId="2" fillId="7" borderId="0" xfId="0" applyNumberFormat="1" applyFont="1" applyFill="1"/>
    <xf numFmtId="0" fontId="2" fillId="7" borderId="0" xfId="0" applyFont="1" applyFill="1" applyAlignment="1">
      <alignment vertical="center"/>
    </xf>
    <xf numFmtId="11" fontId="2" fillId="7" borderId="0" xfId="0" applyNumberFormat="1" applyFont="1" applyFill="1" applyAlignment="1">
      <alignment vertical="center"/>
    </xf>
    <xf numFmtId="11" fontId="0" fillId="7" borderId="1" xfId="0" applyNumberFormat="1" applyFill="1" applyBorder="1"/>
    <xf numFmtId="0" fontId="0" fillId="2" borderId="0" xfId="0" applyFill="1"/>
    <xf numFmtId="11" fontId="0" fillId="7" borderId="0" xfId="0" applyNumberFormat="1" applyFill="1"/>
    <xf numFmtId="11" fontId="1" fillId="0" borderId="0" xfId="0" applyNumberFormat="1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11" fontId="5" fillId="0" borderId="0" xfId="0" applyNumberFormat="1" applyFont="1" applyAlignment="1">
      <alignment vertical="center"/>
    </xf>
    <xf numFmtId="11" fontId="5" fillId="0" borderId="0" xfId="0" applyNumberFormat="1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1" xfId="0" applyFont="1" applyFill="1" applyBorder="1"/>
    <xf numFmtId="0" fontId="6" fillId="0" borderId="1" xfId="0" applyFont="1" applyBorder="1"/>
    <xf numFmtId="0" fontId="5" fillId="0" borderId="1" xfId="0" applyFont="1" applyBorder="1"/>
    <xf numFmtId="0" fontId="7" fillId="0" borderId="0" xfId="0" applyFont="1"/>
    <xf numFmtId="11" fontId="5" fillId="0" borderId="1" xfId="0" applyNumberFormat="1" applyFont="1" applyBorder="1"/>
    <xf numFmtId="1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5" fillId="3" borderId="1" xfId="0" applyFont="1" applyFill="1" applyBorder="1"/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C913-9693-4262-8D8B-19FF1A79A3DF}">
  <dimension ref="A1:G42"/>
  <sheetViews>
    <sheetView zoomScale="66" workbookViewId="0">
      <selection activeCell="M26" sqref="M26"/>
    </sheetView>
  </sheetViews>
  <sheetFormatPr defaultRowHeight="14.4" x14ac:dyDescent="0.3"/>
  <cols>
    <col min="1" max="1" width="11.33203125" customWidth="1"/>
    <col min="2" max="2" width="11.6640625" customWidth="1"/>
    <col min="3" max="3" width="10.33203125" customWidth="1"/>
    <col min="4" max="4" width="9.44140625" customWidth="1"/>
    <col min="5" max="5" width="10.44140625" customWidth="1"/>
    <col min="6" max="6" width="10.5546875" customWidth="1"/>
    <col min="7" max="7" width="10.33203125" customWidth="1"/>
  </cols>
  <sheetData>
    <row r="1" spans="1:7" ht="15.6" x14ac:dyDescent="0.3">
      <c r="A1" s="62" t="s">
        <v>241</v>
      </c>
      <c r="B1" s="61" t="s">
        <v>242</v>
      </c>
      <c r="C1" s="61"/>
      <c r="D1" s="61"/>
      <c r="E1" s="61"/>
      <c r="F1" s="61"/>
      <c r="G1" s="61"/>
    </row>
    <row r="2" spans="1:7" ht="15.6" x14ac:dyDescent="0.3">
      <c r="A2" s="63"/>
      <c r="B2" s="39" t="s">
        <v>7</v>
      </c>
      <c r="C2" s="39" t="s">
        <v>8</v>
      </c>
      <c r="D2" s="39" t="s">
        <v>9</v>
      </c>
      <c r="E2" s="39" t="s">
        <v>10</v>
      </c>
      <c r="F2" s="39" t="s">
        <v>11</v>
      </c>
      <c r="G2" s="39" t="s">
        <v>12</v>
      </c>
    </row>
    <row r="3" spans="1:7" ht="15.6" x14ac:dyDescent="0.3">
      <c r="A3" s="39">
        <v>1</v>
      </c>
      <c r="B3" s="39">
        <v>53.638609952749164</v>
      </c>
      <c r="C3" s="39">
        <v>62.829743102969196</v>
      </c>
      <c r="D3" s="39">
        <v>20.764223990037529</v>
      </c>
      <c r="E3" s="39">
        <v>34.796198164577667</v>
      </c>
      <c r="F3" s="39">
        <v>87.720126049122214</v>
      </c>
      <c r="G3" s="39">
        <v>113.96958844546681</v>
      </c>
    </row>
    <row r="4" spans="1:7" ht="15.6" x14ac:dyDescent="0.3">
      <c r="A4" s="39">
        <v>2</v>
      </c>
      <c r="B4" s="39">
        <v>1580.5183116986077</v>
      </c>
      <c r="C4" s="39">
        <v>1806.2990191400327</v>
      </c>
      <c r="D4" s="39">
        <v>180.5246025179336</v>
      </c>
      <c r="E4" s="39">
        <v>2478.5065404862303</v>
      </c>
      <c r="F4" s="39">
        <v>5395.5475394320283</v>
      </c>
      <c r="G4" s="39">
        <v>5857.6317013721418</v>
      </c>
    </row>
    <row r="5" spans="1:7" ht="15.6" x14ac:dyDescent="0.3">
      <c r="A5" s="39">
        <v>3</v>
      </c>
      <c r="B5" s="39">
        <v>4455.7204843630452</v>
      </c>
      <c r="C5" s="39">
        <v>5238.2125532967848</v>
      </c>
      <c r="D5" s="39">
        <v>247.53729663112469</v>
      </c>
      <c r="E5" s="39">
        <v>3011.1849685195457</v>
      </c>
      <c r="F5" s="39">
        <v>7367.707580334165</v>
      </c>
      <c r="G5" s="39">
        <v>8112.1528488166468</v>
      </c>
    </row>
    <row r="6" spans="1:7" ht="15.6" x14ac:dyDescent="0.3">
      <c r="A6" s="39">
        <v>4</v>
      </c>
      <c r="B6" s="39">
        <v>2353.8031398649568</v>
      </c>
      <c r="C6" s="39">
        <v>2675.2979651347819</v>
      </c>
      <c r="D6" s="39">
        <v>142.07226818190691</v>
      </c>
      <c r="E6" s="39">
        <v>2049.0680352363361</v>
      </c>
      <c r="F6" s="39">
        <v>4690.4622394127082</v>
      </c>
      <c r="G6" s="39">
        <v>5059.5534228889528</v>
      </c>
    </row>
    <row r="7" spans="1:7" ht="15.6" x14ac:dyDescent="0.3">
      <c r="A7" s="39">
        <v>6</v>
      </c>
      <c r="B7" s="39">
        <v>16.706592079902812</v>
      </c>
      <c r="C7" s="39">
        <v>17.529198524283139</v>
      </c>
      <c r="D7" s="39">
        <v>5.6311847326029811</v>
      </c>
      <c r="E7" s="39">
        <v>23.156870375479901</v>
      </c>
      <c r="F7" s="39">
        <v>48.879109939912091</v>
      </c>
      <c r="G7" s="39">
        <v>60.12670689505827</v>
      </c>
    </row>
    <row r="8" spans="1:7" ht="15.6" x14ac:dyDescent="0.3">
      <c r="A8" s="39">
        <v>7</v>
      </c>
      <c r="B8" s="39">
        <v>1471.1763055089734</v>
      </c>
      <c r="C8" s="39">
        <v>1618.3691745346609</v>
      </c>
      <c r="D8" s="39">
        <v>181.09180288412315</v>
      </c>
      <c r="E8" s="39">
        <v>2209.1721521995746</v>
      </c>
      <c r="F8" s="39">
        <v>4600.6727667191763</v>
      </c>
      <c r="G8" s="39">
        <v>4910.2738012894288</v>
      </c>
    </row>
    <row r="9" spans="1:7" ht="15.6" x14ac:dyDescent="0.3">
      <c r="A9" s="39">
        <v>8</v>
      </c>
      <c r="B9" s="39">
        <v>877.08461770121903</v>
      </c>
      <c r="C9" s="39">
        <v>964.82895318325291</v>
      </c>
      <c r="D9" s="39">
        <v>94.101432505250969</v>
      </c>
      <c r="E9" s="39">
        <v>1341.5355332352681</v>
      </c>
      <c r="F9" s="39">
        <v>2779.563454974324</v>
      </c>
      <c r="G9" s="39">
        <v>2957.6959536733771</v>
      </c>
    </row>
    <row r="10" spans="1:7" ht="15.6" x14ac:dyDescent="0.3">
      <c r="A10" s="39">
        <v>9</v>
      </c>
      <c r="B10" s="39">
        <v>125.08754858129028</v>
      </c>
      <c r="C10" s="39">
        <v>137.52132766737469</v>
      </c>
      <c r="D10" s="39">
        <v>23.864296055614222</v>
      </c>
      <c r="E10" s="39">
        <v>135.21757008910734</v>
      </c>
      <c r="F10" s="39">
        <v>288.06005953605739</v>
      </c>
      <c r="G10" s="39">
        <v>305.31662392541915</v>
      </c>
    </row>
    <row r="11" spans="1:7" ht="15.6" x14ac:dyDescent="0.3">
      <c r="A11" s="39">
        <v>10</v>
      </c>
      <c r="B11" s="39">
        <v>38.544107614831674</v>
      </c>
      <c r="C11" s="39">
        <v>41.829462623011842</v>
      </c>
      <c r="D11" s="39">
        <v>10.518720057358799</v>
      </c>
      <c r="E11" s="39">
        <v>39.265627404352827</v>
      </c>
      <c r="F11" s="39">
        <v>81.581176969282836</v>
      </c>
      <c r="G11" s="39">
        <v>93.426732848346063</v>
      </c>
    </row>
    <row r="12" spans="1:7" ht="15.6" x14ac:dyDescent="0.3">
      <c r="A12" s="39">
        <v>12</v>
      </c>
      <c r="B12" s="39">
        <v>25.022509971458089</v>
      </c>
      <c r="C12" s="39">
        <v>28.291424501769942</v>
      </c>
      <c r="D12" s="39">
        <v>16.113283166383557</v>
      </c>
      <c r="E12" s="39">
        <v>25.189131646358572</v>
      </c>
      <c r="F12" s="39">
        <v>51.375543112097866</v>
      </c>
      <c r="G12" s="39">
        <v>60.948280304986142</v>
      </c>
    </row>
    <row r="13" spans="1:7" ht="15.6" x14ac:dyDescent="0.3">
      <c r="A13" s="39">
        <v>13</v>
      </c>
      <c r="B13" s="39">
        <v>57.309304544660669</v>
      </c>
      <c r="C13" s="39">
        <v>60.152596509928401</v>
      </c>
      <c r="D13" s="39">
        <v>28.359348996292766</v>
      </c>
      <c r="E13" s="39">
        <v>49.815902105421053</v>
      </c>
      <c r="F13" s="39">
        <v>102.56810508479599</v>
      </c>
      <c r="G13" s="39">
        <v>123.20932261926592</v>
      </c>
    </row>
    <row r="14" spans="1:7" ht="15.6" x14ac:dyDescent="0.3">
      <c r="A14" s="39">
        <v>14</v>
      </c>
      <c r="B14" s="39">
        <v>40.784186337358399</v>
      </c>
      <c r="C14" s="39">
        <v>44.583769785995329</v>
      </c>
      <c r="D14" s="39">
        <v>17.530819224522823</v>
      </c>
      <c r="E14" s="39">
        <v>34.310533811908648</v>
      </c>
      <c r="F14" s="39">
        <v>73.575686763088129</v>
      </c>
      <c r="G14" s="39">
        <v>93.642428963891334</v>
      </c>
    </row>
    <row r="15" spans="1:7" ht="15.6" x14ac:dyDescent="0.3">
      <c r="A15" s="39">
        <v>15</v>
      </c>
      <c r="B15" s="39">
        <v>47.512910467186742</v>
      </c>
      <c r="C15" s="39">
        <v>52.584687174863596</v>
      </c>
      <c r="D15" s="39">
        <v>6.4047208865506677</v>
      </c>
      <c r="E15" s="39">
        <v>44.266413331445406</v>
      </c>
      <c r="F15" s="39">
        <v>98.082270304858852</v>
      </c>
      <c r="G15" s="39">
        <v>127.98352184039464</v>
      </c>
    </row>
    <row r="16" spans="1:7" ht="15.6" x14ac:dyDescent="0.3">
      <c r="A16" s="39">
        <v>16</v>
      </c>
      <c r="B16" s="39">
        <v>24.318249574096544</v>
      </c>
      <c r="C16" s="39">
        <v>26.631365768906996</v>
      </c>
      <c r="D16" s="39">
        <v>2.6412326091510088</v>
      </c>
      <c r="E16" s="39">
        <v>18.854813619418184</v>
      </c>
      <c r="F16" s="39">
        <v>35.467551316405036</v>
      </c>
      <c r="G16" s="39">
        <v>29.761078955685186</v>
      </c>
    </row>
    <row r="17" spans="1:7" ht="15.6" x14ac:dyDescent="0.3">
      <c r="A17" s="39">
        <v>18</v>
      </c>
      <c r="B17" s="39">
        <v>39.663681693121603</v>
      </c>
      <c r="C17" s="39">
        <v>43.71114980918103</v>
      </c>
      <c r="D17" s="39">
        <v>32.436918894774301</v>
      </c>
      <c r="E17" s="39">
        <v>50.184945243794097</v>
      </c>
      <c r="F17" s="39">
        <v>99.853111678705417</v>
      </c>
      <c r="G17" s="39">
        <v>65.402173103336409</v>
      </c>
    </row>
    <row r="18" spans="1:7" ht="15.6" x14ac:dyDescent="0.3">
      <c r="A18" s="39">
        <v>19</v>
      </c>
      <c r="B18" s="39">
        <v>76.950531381149958</v>
      </c>
      <c r="C18" s="39">
        <v>66.197625783643119</v>
      </c>
      <c r="D18" s="39">
        <v>21.441130666871349</v>
      </c>
      <c r="E18" s="39">
        <v>110.44764442927209</v>
      </c>
      <c r="F18" s="39">
        <v>226.43220641841202</v>
      </c>
      <c r="G18" s="39">
        <v>140.34662549290161</v>
      </c>
    </row>
    <row r="19" spans="1:7" ht="15.6" x14ac:dyDescent="0.3">
      <c r="A19" s="39">
        <v>20</v>
      </c>
      <c r="B19" s="39">
        <v>35.921822380010241</v>
      </c>
      <c r="C19" s="39">
        <v>39.113983790420129</v>
      </c>
      <c r="D19" s="39">
        <v>7.1839721613564107</v>
      </c>
      <c r="E19" s="39">
        <v>44.848736708575956</v>
      </c>
      <c r="F19" s="39">
        <v>90.058016653326234</v>
      </c>
      <c r="G19" s="39">
        <v>110.87602203937747</v>
      </c>
    </row>
    <row r="20" spans="1:7" ht="15.6" x14ac:dyDescent="0.3">
      <c r="A20" s="39">
        <v>21</v>
      </c>
      <c r="B20" s="39">
        <v>721.14191591579277</v>
      </c>
      <c r="C20" s="39">
        <v>817.4559128506022</v>
      </c>
      <c r="D20" s="39">
        <v>70.490191233630227</v>
      </c>
      <c r="E20" s="39">
        <v>778.27219892491894</v>
      </c>
      <c r="F20" s="39">
        <v>2070.3802498938585</v>
      </c>
      <c r="G20" s="39">
        <v>2246.9974127404666</v>
      </c>
    </row>
    <row r="21" spans="1:7" ht="15.6" x14ac:dyDescent="0.3">
      <c r="A21" s="39">
        <v>22</v>
      </c>
      <c r="B21" s="39">
        <v>862.74109916022417</v>
      </c>
      <c r="C21" s="39">
        <v>982.425248619895</v>
      </c>
      <c r="D21" s="39">
        <v>57.348157362786502</v>
      </c>
      <c r="E21" s="39">
        <v>998.79871259231095</v>
      </c>
      <c r="F21" s="39">
        <v>2327.9012916051101</v>
      </c>
      <c r="G21" s="39">
        <v>1345.0050864695293</v>
      </c>
    </row>
    <row r="22" spans="1:7" ht="15.6" x14ac:dyDescent="0.3">
      <c r="A22" s="39">
        <v>24</v>
      </c>
      <c r="B22" s="39">
        <v>521.60370486297495</v>
      </c>
      <c r="C22" s="39">
        <v>573.72647923395527</v>
      </c>
      <c r="D22" s="39">
        <v>60.420081106287384</v>
      </c>
      <c r="E22" s="39">
        <v>621.48390675733867</v>
      </c>
      <c r="F22" s="39">
        <v>1349.2542151542041</v>
      </c>
      <c r="G22" s="39">
        <v>787.07675846897371</v>
      </c>
    </row>
    <row r="23" spans="1:7" ht="15.6" x14ac:dyDescent="0.3">
      <c r="A23" s="39">
        <v>25</v>
      </c>
      <c r="B23" s="39">
        <v>86.954795084210303</v>
      </c>
      <c r="C23" s="39">
        <v>94.186109517914304</v>
      </c>
      <c r="D23" s="39">
        <v>25.510007305972891</v>
      </c>
      <c r="E23" s="39">
        <v>96.521390415821301</v>
      </c>
      <c r="F23" s="39">
        <v>199.12152628416624</v>
      </c>
      <c r="G23" s="39">
        <v>230.1662499549048</v>
      </c>
    </row>
    <row r="24" spans="1:7" ht="15.6" x14ac:dyDescent="0.3">
      <c r="A24" s="39">
        <v>26</v>
      </c>
      <c r="B24" s="39">
        <v>79.190225049700473</v>
      </c>
      <c r="C24" s="39">
        <v>86.442226145350403</v>
      </c>
      <c r="D24" s="39">
        <v>25.3269125133139</v>
      </c>
      <c r="E24" s="39">
        <v>91.20094150415666</v>
      </c>
      <c r="F24" s="39">
        <v>188.92098314044162</v>
      </c>
      <c r="G24" s="39">
        <v>218.96828591462915</v>
      </c>
    </row>
    <row r="25" spans="1:7" ht="15.6" x14ac:dyDescent="0.3">
      <c r="A25" s="39">
        <v>27</v>
      </c>
      <c r="B25" s="39">
        <v>185.08502423162449</v>
      </c>
      <c r="C25" s="39">
        <v>197.99452979994024</v>
      </c>
      <c r="D25" s="39">
        <v>21.752825362516788</v>
      </c>
      <c r="E25" s="39">
        <v>228.2127624181793</v>
      </c>
      <c r="F25" s="39">
        <v>543.15740530774599</v>
      </c>
      <c r="G25" s="39">
        <v>573.93835369923522</v>
      </c>
    </row>
    <row r="26" spans="1:7" ht="15.6" x14ac:dyDescent="0.3">
      <c r="A26" s="39">
        <v>28</v>
      </c>
      <c r="B26" s="39">
        <v>15.874838663600331</v>
      </c>
      <c r="C26" s="39">
        <v>18.881841413586056</v>
      </c>
      <c r="D26" s="39">
        <v>7.9717195431381755</v>
      </c>
      <c r="E26" s="39">
        <v>18.830403886258512</v>
      </c>
      <c r="F26" s="39">
        <v>47.542474427649758</v>
      </c>
      <c r="G26" s="39">
        <v>58.810637491050201</v>
      </c>
    </row>
    <row r="27" spans="1:7" ht="15.6" x14ac:dyDescent="0.3">
      <c r="A27" s="39">
        <v>30</v>
      </c>
      <c r="B27" s="39">
        <v>5.5647416583506502</v>
      </c>
      <c r="C27" s="39">
        <v>6.2684958597981737</v>
      </c>
      <c r="D27" s="39">
        <v>8.5158797285284695</v>
      </c>
      <c r="E27" s="39">
        <v>3.0024886306842942</v>
      </c>
      <c r="F27" s="39">
        <v>7.1392162607485217</v>
      </c>
      <c r="G27" s="39">
        <v>17.124443892368522</v>
      </c>
    </row>
    <row r="28" spans="1:7" ht="15.6" x14ac:dyDescent="0.3">
      <c r="A28" s="39">
        <v>31</v>
      </c>
      <c r="B28" s="39">
        <v>7.204087431097455</v>
      </c>
      <c r="C28" s="39">
        <v>8.2411646180527214</v>
      </c>
      <c r="D28" s="39">
        <v>2.1625746672099337</v>
      </c>
      <c r="E28" s="39">
        <v>6.1317928634282337</v>
      </c>
      <c r="F28" s="39">
        <v>12.836841440391328</v>
      </c>
      <c r="G28" s="39">
        <v>17.762493952705359</v>
      </c>
    </row>
    <row r="29" spans="1:7" ht="15.6" x14ac:dyDescent="0.3">
      <c r="A29" s="39">
        <v>32</v>
      </c>
      <c r="B29" s="39">
        <v>7.1657619775490673</v>
      </c>
      <c r="C29" s="39">
        <v>6.5718302259397676</v>
      </c>
      <c r="D29" s="39">
        <v>2.7124758508556477</v>
      </c>
      <c r="E29" s="39">
        <v>5.9143100583898089</v>
      </c>
      <c r="F29" s="39">
        <v>11.676690904056809</v>
      </c>
      <c r="G29" s="39">
        <v>17.237285987423114</v>
      </c>
    </row>
    <row r="30" spans="1:7" ht="15.6" x14ac:dyDescent="0.3">
      <c r="A30" s="39">
        <v>33</v>
      </c>
      <c r="B30" s="39">
        <v>12.415541846129356</v>
      </c>
      <c r="C30" s="39">
        <v>14.11258650831495</v>
      </c>
      <c r="D30" s="39">
        <v>1.4160456461831572</v>
      </c>
      <c r="E30" s="39">
        <v>9.2133245889243636</v>
      </c>
      <c r="F30" s="39">
        <v>20.661210637141846</v>
      </c>
      <c r="G30" s="39">
        <v>30.664149685099563</v>
      </c>
    </row>
    <row r="31" spans="1:7" ht="15.6" x14ac:dyDescent="0.3">
      <c r="A31" s="39">
        <v>34</v>
      </c>
      <c r="B31" s="39">
        <v>13.481220271786725</v>
      </c>
      <c r="C31" s="39">
        <v>14.004684972299293</v>
      </c>
      <c r="D31" s="39">
        <v>10.473228589645002</v>
      </c>
      <c r="E31" s="39">
        <v>12.045878176978471</v>
      </c>
      <c r="F31" s="39">
        <v>24.75573858077534</v>
      </c>
      <c r="G31" s="39">
        <v>28.984434411935865</v>
      </c>
    </row>
    <row r="32" spans="1:7" ht="15.6" x14ac:dyDescent="0.3">
      <c r="A32" s="39">
        <v>36</v>
      </c>
      <c r="B32" s="39">
        <v>264.80702927658012</v>
      </c>
      <c r="C32" s="39">
        <v>289.59493644058608</v>
      </c>
      <c r="D32" s="39">
        <v>12.663528243426262</v>
      </c>
      <c r="E32" s="39">
        <v>174.94995492489045</v>
      </c>
      <c r="F32" s="39">
        <v>373.55281412555621</v>
      </c>
      <c r="G32" s="39">
        <v>398.908092433984</v>
      </c>
    </row>
    <row r="33" spans="1:7" ht="15.6" x14ac:dyDescent="0.3">
      <c r="A33" s="39">
        <v>37</v>
      </c>
      <c r="B33" s="39">
        <v>885.06005447023404</v>
      </c>
      <c r="C33" s="39">
        <v>962.54039107751089</v>
      </c>
      <c r="D33" s="39">
        <v>62.824931116043246</v>
      </c>
      <c r="E33" s="39">
        <v>651.72557371495225</v>
      </c>
      <c r="F33" s="39">
        <v>1368.8438372100456</v>
      </c>
      <c r="G33" s="39">
        <v>1489.0530740023016</v>
      </c>
    </row>
    <row r="34" spans="1:7" ht="15.6" x14ac:dyDescent="0.3">
      <c r="A34" s="39">
        <v>38</v>
      </c>
      <c r="B34" s="39">
        <v>319.23820270749309</v>
      </c>
      <c r="C34" s="39">
        <v>407.05120712443181</v>
      </c>
      <c r="D34" s="39">
        <v>85.487997674056274</v>
      </c>
      <c r="E34" s="39">
        <v>263.58495714028942</v>
      </c>
      <c r="F34" s="39">
        <v>568.2056447832033</v>
      </c>
      <c r="G34" s="39">
        <v>598.84599587072375</v>
      </c>
    </row>
    <row r="35" spans="1:7" ht="15.6" x14ac:dyDescent="0.3">
      <c r="A35" s="39">
        <v>39</v>
      </c>
      <c r="B35" s="39">
        <v>192.42147898978163</v>
      </c>
      <c r="C35" s="39">
        <v>206.62081607991314</v>
      </c>
      <c r="D35" s="39">
        <v>55.623202604789554</v>
      </c>
      <c r="E35" s="39">
        <v>262.50489760608895</v>
      </c>
      <c r="F35" s="39">
        <v>490.83628723926597</v>
      </c>
      <c r="G35" s="39">
        <v>525.83439639611299</v>
      </c>
    </row>
    <row r="36" spans="1:7" ht="15.6" x14ac:dyDescent="0.3">
      <c r="A36" s="39">
        <v>40</v>
      </c>
      <c r="B36" s="39">
        <v>109.0279717107519</v>
      </c>
      <c r="C36" s="39">
        <v>114.68634231153803</v>
      </c>
      <c r="D36" s="39">
        <v>51.232302038346319</v>
      </c>
      <c r="E36" s="39">
        <v>118.01646630123737</v>
      </c>
      <c r="F36" s="39">
        <v>279.72382203525467</v>
      </c>
      <c r="G36" s="39">
        <v>291.99935223823491</v>
      </c>
    </row>
    <row r="37" spans="1:7" ht="15.6" x14ac:dyDescent="0.3">
      <c r="A37" s="39">
        <v>42</v>
      </c>
      <c r="B37" s="39">
        <v>6.4506939559664662</v>
      </c>
      <c r="C37" s="39">
        <v>6.9266692328980053</v>
      </c>
      <c r="D37" s="39">
        <v>4.174044985997452</v>
      </c>
      <c r="E37" s="39">
        <v>4.8833820184473264</v>
      </c>
      <c r="F37" s="39">
        <v>11.16046718679665</v>
      </c>
      <c r="G37" s="39">
        <v>12.730581334390074</v>
      </c>
    </row>
    <row r="38" spans="1:7" ht="15.6" x14ac:dyDescent="0.3">
      <c r="A38" s="39">
        <v>43</v>
      </c>
      <c r="B38" s="39">
        <v>14.674493431571321</v>
      </c>
      <c r="C38" s="39">
        <v>14.166103549965031</v>
      </c>
      <c r="D38" s="39">
        <v>11.399012702090051</v>
      </c>
      <c r="E38" s="39">
        <v>11.626399616208715</v>
      </c>
      <c r="F38" s="39">
        <v>28.384003129158373</v>
      </c>
      <c r="G38" s="39">
        <v>16.444408931722215</v>
      </c>
    </row>
    <row r="39" spans="1:7" ht="15.6" x14ac:dyDescent="0.3">
      <c r="A39" s="39">
        <v>44</v>
      </c>
      <c r="B39" s="39">
        <v>17.639486292254979</v>
      </c>
      <c r="C39" s="39">
        <v>16.974810303910875</v>
      </c>
      <c r="D39" s="39">
        <v>25.382392290220025</v>
      </c>
      <c r="E39" s="39">
        <v>16.196337171650264</v>
      </c>
      <c r="F39" s="39">
        <v>38.46065749790575</v>
      </c>
      <c r="G39" s="39">
        <v>26.775433078526351</v>
      </c>
    </row>
    <row r="40" spans="1:7" ht="15.6" x14ac:dyDescent="0.3">
      <c r="A40" s="39">
        <v>45</v>
      </c>
      <c r="B40" s="39">
        <v>89.776248967317514</v>
      </c>
      <c r="C40" s="39">
        <v>95.515871625739976</v>
      </c>
      <c r="D40" s="39">
        <v>67.880728052957181</v>
      </c>
      <c r="E40" s="39">
        <v>93.683254259543375</v>
      </c>
      <c r="F40" s="39">
        <v>198.11952265721621</v>
      </c>
      <c r="G40" s="39">
        <v>208.25380887400684</v>
      </c>
    </row>
    <row r="41" spans="1:7" ht="15.6" x14ac:dyDescent="0.3">
      <c r="A41" s="40">
        <v>46</v>
      </c>
      <c r="B41" s="40">
        <v>35.562326036255875</v>
      </c>
      <c r="C41" s="40">
        <v>39.524145333468049</v>
      </c>
      <c r="D41" s="40">
        <v>43.752903153672229</v>
      </c>
      <c r="E41" s="40">
        <v>30.135198883943875</v>
      </c>
      <c r="F41" s="40">
        <v>67.418400317164583</v>
      </c>
      <c r="G41" s="40">
        <v>64.002169788629232</v>
      </c>
    </row>
    <row r="42" spans="1:7" ht="15.6" x14ac:dyDescent="0.3">
      <c r="A42" s="40" t="s">
        <v>250</v>
      </c>
      <c r="B42" s="40">
        <f t="shared" ref="B42:G42" si="0">AVERAGE(B3:B41)</f>
        <v>404.43189373604781</v>
      </c>
      <c r="C42" s="40">
        <f t="shared" si="0"/>
        <v>458.92042059429394</v>
      </c>
      <c r="D42" s="40">
        <f t="shared" si="0"/>
        <v>44.942010152141599</v>
      </c>
      <c r="E42" s="40">
        <f t="shared" si="0"/>
        <v>415.30143971952077</v>
      </c>
      <c r="F42" s="40">
        <f t="shared" si="0"/>
        <v>931.93999601323878</v>
      </c>
      <c r="G42" s="40">
        <f t="shared" si="0"/>
        <v>959.68973689978543</v>
      </c>
    </row>
  </sheetData>
  <mergeCells count="2">
    <mergeCell ref="B1:G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999C-D528-4F83-A768-8C85FCAF78BC}">
  <dimension ref="A1:M281"/>
  <sheetViews>
    <sheetView workbookViewId="0">
      <selection activeCell="J3" sqref="J3"/>
    </sheetView>
  </sheetViews>
  <sheetFormatPr defaultRowHeight="15.6" x14ac:dyDescent="0.3"/>
  <cols>
    <col min="2" max="2" width="14.88671875" customWidth="1"/>
    <col min="3" max="3" width="16.5546875" style="52" customWidth="1"/>
    <col min="5" max="5" width="13.77734375" customWidth="1"/>
    <col min="6" max="6" width="15" customWidth="1"/>
    <col min="8" max="8" width="11.33203125" style="46" customWidth="1"/>
    <col min="9" max="9" width="14.44140625" style="60" customWidth="1"/>
    <col min="10" max="10" width="18.6640625" style="41" customWidth="1"/>
    <col min="11" max="11" width="12.6640625" customWidth="1"/>
    <col min="12" max="12" width="14.109375" customWidth="1"/>
    <col min="13" max="13" width="18.44140625" customWidth="1"/>
  </cols>
  <sheetData>
    <row r="1" spans="1:13" x14ac:dyDescent="0.3">
      <c r="A1" s="39" t="s">
        <v>260</v>
      </c>
      <c r="B1" s="57" t="s">
        <v>2</v>
      </c>
      <c r="C1" s="39" t="s">
        <v>264</v>
      </c>
      <c r="D1" s="39" t="s">
        <v>260</v>
      </c>
      <c r="E1" s="39" t="s">
        <v>2</v>
      </c>
      <c r="F1" s="39" t="s">
        <v>264</v>
      </c>
      <c r="H1" s="40" t="s">
        <v>241</v>
      </c>
      <c r="I1" s="40" t="s">
        <v>2</v>
      </c>
      <c r="J1" s="39" t="s">
        <v>234</v>
      </c>
      <c r="K1" s="40" t="s">
        <v>241</v>
      </c>
      <c r="L1" s="40" t="s">
        <v>2</v>
      </c>
      <c r="M1" s="39" t="s">
        <v>234</v>
      </c>
    </row>
    <row r="2" spans="1:13" x14ac:dyDescent="0.3">
      <c r="A2" s="50" t="s">
        <v>251</v>
      </c>
      <c r="B2" s="49" t="s">
        <v>9</v>
      </c>
      <c r="C2" s="53">
        <v>4.0533735200000004E-3</v>
      </c>
      <c r="D2" s="50" t="s">
        <v>256</v>
      </c>
      <c r="E2" s="50" t="s">
        <v>9</v>
      </c>
      <c r="F2" s="53">
        <v>3.9604503500000002E-3</v>
      </c>
      <c r="H2" s="40">
        <v>1</v>
      </c>
      <c r="I2" s="59" t="s">
        <v>7</v>
      </c>
      <c r="J2" s="51">
        <v>0.19961000000000001</v>
      </c>
      <c r="K2" s="40">
        <v>25</v>
      </c>
      <c r="L2" s="59" t="s">
        <v>7</v>
      </c>
      <c r="M2" s="51">
        <v>0.31593610710999998</v>
      </c>
    </row>
    <row r="3" spans="1:13" x14ac:dyDescent="0.3">
      <c r="A3" s="50"/>
      <c r="B3" s="49" t="s">
        <v>12</v>
      </c>
      <c r="C3" s="53">
        <v>1.5048283799999999E-3</v>
      </c>
      <c r="D3" s="50"/>
      <c r="E3" s="50" t="s">
        <v>10</v>
      </c>
      <c r="F3" s="54">
        <v>3.2776332600000001E-3</v>
      </c>
      <c r="H3" s="40"/>
      <c r="I3" s="59"/>
      <c r="J3" s="51">
        <v>0.11296</v>
      </c>
      <c r="K3" s="40"/>
      <c r="L3" s="59"/>
      <c r="M3" s="51">
        <v>0.19262000000000001</v>
      </c>
    </row>
    <row r="4" spans="1:13" x14ac:dyDescent="0.3">
      <c r="A4" s="50" t="s">
        <v>252</v>
      </c>
      <c r="B4" s="50" t="s">
        <v>9</v>
      </c>
      <c r="C4" s="53">
        <v>5.8245669400000004E-3</v>
      </c>
      <c r="D4" s="50"/>
      <c r="E4" s="50" t="s">
        <v>12</v>
      </c>
      <c r="F4" s="53">
        <v>4.1476006199999997E-3</v>
      </c>
      <c r="H4" s="40"/>
      <c r="I4" s="59" t="s">
        <v>8</v>
      </c>
      <c r="J4" s="51">
        <v>0.14685000000000001</v>
      </c>
      <c r="K4" s="40"/>
      <c r="L4" s="59" t="s">
        <v>8</v>
      </c>
      <c r="M4" s="51">
        <v>0.22109000000000001</v>
      </c>
    </row>
    <row r="5" spans="1:13" x14ac:dyDescent="0.3">
      <c r="A5" s="50"/>
      <c r="B5" s="50" t="s">
        <v>10</v>
      </c>
      <c r="C5" s="53">
        <v>5.3830502700000001E-3</v>
      </c>
      <c r="D5" s="50" t="s">
        <v>257</v>
      </c>
      <c r="E5" s="50" t="s">
        <v>9</v>
      </c>
      <c r="F5" s="53">
        <v>2.3045801599999999E-3</v>
      </c>
      <c r="H5" s="40"/>
      <c r="I5" s="59"/>
      <c r="J5" s="51">
        <v>2.392E-2</v>
      </c>
      <c r="K5" s="40"/>
      <c r="L5" s="59"/>
      <c r="M5" s="51">
        <v>3.5549999999999998E-2</v>
      </c>
    </row>
    <row r="6" spans="1:13" x14ac:dyDescent="0.3">
      <c r="A6" s="50"/>
      <c r="B6" s="50" t="s">
        <v>12</v>
      </c>
      <c r="C6" s="53">
        <v>2.2477083999999999E-3</v>
      </c>
      <c r="D6" s="50"/>
      <c r="E6" s="50" t="s">
        <v>10</v>
      </c>
      <c r="F6" s="53">
        <v>3.9974056399999999E-3</v>
      </c>
      <c r="H6" s="40"/>
      <c r="I6" s="59"/>
      <c r="J6" s="51">
        <v>2.972E-2</v>
      </c>
      <c r="K6" s="40"/>
      <c r="L6" s="59"/>
      <c r="M6" s="51">
        <v>4.4740000000000002E-2</v>
      </c>
    </row>
    <row r="7" spans="1:13" x14ac:dyDescent="0.3">
      <c r="A7" s="50" t="s">
        <v>253</v>
      </c>
      <c r="B7" s="50" t="s">
        <v>9</v>
      </c>
      <c r="C7" s="54">
        <v>4.9195372499999997E-3</v>
      </c>
      <c r="D7" s="50"/>
      <c r="E7" s="50" t="s">
        <v>12</v>
      </c>
      <c r="F7" s="53">
        <v>2.8326085499999999E-3</v>
      </c>
      <c r="H7" s="40"/>
      <c r="I7" s="59" t="s">
        <v>9</v>
      </c>
      <c r="J7" s="51">
        <v>1.020662648E-2</v>
      </c>
      <c r="K7" s="40"/>
      <c r="L7" s="59" t="s">
        <v>9</v>
      </c>
      <c r="M7" s="51">
        <v>1.253940991E-2</v>
      </c>
    </row>
    <row r="8" spans="1:13" x14ac:dyDescent="0.3">
      <c r="A8" s="50"/>
      <c r="B8" s="50" t="s">
        <v>12</v>
      </c>
      <c r="C8" s="53">
        <v>5.00422438E-3</v>
      </c>
      <c r="D8" s="50"/>
      <c r="E8" s="50"/>
      <c r="F8" s="51">
        <v>1.8599999999999998E-2</v>
      </c>
      <c r="H8" s="40"/>
      <c r="I8" s="59" t="s">
        <v>10</v>
      </c>
      <c r="J8" s="51">
        <v>0.33118999999999998</v>
      </c>
      <c r="K8" s="40"/>
      <c r="L8" s="59" t="s">
        <v>10</v>
      </c>
      <c r="M8" s="51">
        <v>0.91869000000000001</v>
      </c>
    </row>
    <row r="9" spans="1:13" x14ac:dyDescent="0.3">
      <c r="A9" s="50" t="s">
        <v>254</v>
      </c>
      <c r="B9" s="50" t="s">
        <v>10</v>
      </c>
      <c r="C9" s="53">
        <v>4.28255032E-3</v>
      </c>
      <c r="D9" s="50" t="s">
        <v>258</v>
      </c>
      <c r="E9" s="50" t="s">
        <v>9</v>
      </c>
      <c r="F9" s="54">
        <v>4.41848929E-3</v>
      </c>
      <c r="H9" s="40"/>
      <c r="I9" s="59" t="s">
        <v>11</v>
      </c>
      <c r="J9" s="51">
        <v>7.1859999999999993E-2</v>
      </c>
      <c r="K9" s="40"/>
      <c r="L9" s="59" t="s">
        <v>11</v>
      </c>
      <c r="M9" s="51">
        <v>0.16797000000000001</v>
      </c>
    </row>
    <row r="10" spans="1:13" x14ac:dyDescent="0.3">
      <c r="A10" s="50" t="s">
        <v>262</v>
      </c>
      <c r="B10" s="50" t="s">
        <v>7</v>
      </c>
      <c r="C10" s="54">
        <v>2.5498923600000001E-3</v>
      </c>
      <c r="D10" s="50"/>
      <c r="E10" s="50" t="s">
        <v>12</v>
      </c>
      <c r="F10" s="53">
        <v>5.35422799E-3</v>
      </c>
      <c r="H10" s="40"/>
      <c r="I10" s="59"/>
      <c r="J10" s="51">
        <v>4.5179999999999998E-2</v>
      </c>
      <c r="K10" s="40"/>
      <c r="L10" s="59"/>
      <c r="M10" s="51">
        <v>9.4689999999999996E-2</v>
      </c>
    </row>
    <row r="11" spans="1:13" x14ac:dyDescent="0.3">
      <c r="A11" s="50"/>
      <c r="B11" s="50" t="s">
        <v>9</v>
      </c>
      <c r="C11" s="53">
        <v>4.8856759800000003E-3</v>
      </c>
      <c r="D11" s="50" t="s">
        <v>259</v>
      </c>
      <c r="E11" s="50" t="s">
        <v>9</v>
      </c>
      <c r="F11" s="54">
        <v>4.7468305799999999E-3</v>
      </c>
      <c r="H11" s="40"/>
      <c r="I11" s="59"/>
      <c r="J11" s="51">
        <v>7.0940000000000003E-2</v>
      </c>
      <c r="K11" s="40"/>
      <c r="L11" s="59"/>
      <c r="M11" s="51">
        <v>0.17052</v>
      </c>
    </row>
    <row r="12" spans="1:13" x14ac:dyDescent="0.3">
      <c r="A12" s="50" t="s">
        <v>255</v>
      </c>
      <c r="B12" s="49" t="s">
        <v>9</v>
      </c>
      <c r="C12" s="54">
        <v>5.9606409500000002E-3</v>
      </c>
      <c r="D12" s="50"/>
      <c r="E12" s="50" t="s">
        <v>12</v>
      </c>
      <c r="F12" s="53">
        <v>3.2773344199999999E-3</v>
      </c>
      <c r="H12" s="40"/>
      <c r="I12" s="59" t="s">
        <v>12</v>
      </c>
      <c r="J12" s="51">
        <v>4.4675171619999995E-2</v>
      </c>
      <c r="K12" s="40"/>
      <c r="L12" s="59" t="s">
        <v>12</v>
      </c>
      <c r="M12" s="51">
        <v>8.8999999999999996E-2</v>
      </c>
    </row>
    <row r="13" spans="1:13" x14ac:dyDescent="0.3">
      <c r="A13" s="50" t="s">
        <v>261</v>
      </c>
      <c r="B13" s="49" t="s">
        <v>7</v>
      </c>
      <c r="C13" s="54">
        <v>2.8338928900000001E-3</v>
      </c>
      <c r="D13" s="50"/>
      <c r="E13" s="50"/>
      <c r="F13" s="51">
        <v>2.2380000000000001E-2</v>
      </c>
      <c r="H13" s="40"/>
      <c r="I13" s="59"/>
      <c r="J13" s="51">
        <v>0.12161</v>
      </c>
      <c r="K13" s="40"/>
      <c r="L13" s="59"/>
      <c r="M13" s="51">
        <v>0.26450000000000001</v>
      </c>
    </row>
    <row r="14" spans="1:13" x14ac:dyDescent="0.3">
      <c r="A14" s="50"/>
      <c r="B14" s="49" t="s">
        <v>9</v>
      </c>
      <c r="C14" s="53">
        <v>4.2505900899999999E-3</v>
      </c>
      <c r="D14" s="50" t="s">
        <v>263</v>
      </c>
      <c r="E14" s="50" t="s">
        <v>7</v>
      </c>
      <c r="F14" s="53">
        <v>3.7366954800000002E-3</v>
      </c>
      <c r="H14" s="40"/>
      <c r="I14" s="59"/>
      <c r="J14" s="51">
        <v>6.1429999999999998E-2</v>
      </c>
      <c r="K14" s="40"/>
      <c r="L14" s="59"/>
      <c r="M14" s="51">
        <v>0.10242</v>
      </c>
    </row>
    <row r="15" spans="1:13" x14ac:dyDescent="0.3">
      <c r="A15" s="50" t="s">
        <v>39</v>
      </c>
      <c r="B15" s="50" t="s">
        <v>7</v>
      </c>
      <c r="C15" s="54">
        <v>2.5140252399999999E-3</v>
      </c>
      <c r="D15" s="50"/>
      <c r="E15" s="50" t="s">
        <v>9</v>
      </c>
      <c r="F15" s="53">
        <v>5.4833190800000001E-3</v>
      </c>
      <c r="H15" s="40"/>
      <c r="I15" s="59"/>
      <c r="J15" s="51">
        <v>1.226E-2</v>
      </c>
      <c r="K15" s="40"/>
      <c r="L15" s="59"/>
      <c r="M15" s="51">
        <v>3.0759999999999999E-2</v>
      </c>
    </row>
    <row r="16" spans="1:13" x14ac:dyDescent="0.3">
      <c r="A16" s="50"/>
      <c r="B16" s="50" t="s">
        <v>9</v>
      </c>
      <c r="C16" s="53">
        <v>2.2074278400000002E-3</v>
      </c>
      <c r="D16" s="50"/>
      <c r="E16" s="50" t="s">
        <v>10</v>
      </c>
      <c r="F16" s="53">
        <v>3.5433624699999998E-3</v>
      </c>
      <c r="H16" s="40">
        <v>2</v>
      </c>
      <c r="I16" s="59" t="s">
        <v>7</v>
      </c>
      <c r="J16" s="51">
        <v>5.82836</v>
      </c>
      <c r="K16" s="40">
        <v>26</v>
      </c>
      <c r="L16" s="59" t="s">
        <v>7</v>
      </c>
      <c r="M16" s="51">
        <v>0.29085610710999998</v>
      </c>
    </row>
    <row r="17" spans="1:13" x14ac:dyDescent="0.3">
      <c r="A17" s="50"/>
      <c r="B17" s="50" t="s">
        <v>10</v>
      </c>
      <c r="C17" s="54">
        <v>4.0623316899999996E-3</v>
      </c>
      <c r="D17" s="50"/>
      <c r="E17" s="50" t="s">
        <v>12</v>
      </c>
      <c r="F17" s="53">
        <v>5.2797408899999997E-3</v>
      </c>
      <c r="H17" s="40"/>
      <c r="I17" s="59"/>
      <c r="J17" s="51">
        <v>3.4231600000000002</v>
      </c>
      <c r="K17" s="40"/>
      <c r="L17" s="59"/>
      <c r="M17" s="51">
        <v>0.17172999999999999</v>
      </c>
    </row>
    <row r="18" spans="1:13" x14ac:dyDescent="0.3">
      <c r="A18" s="50"/>
      <c r="B18" s="50" t="s">
        <v>12</v>
      </c>
      <c r="C18" s="53">
        <v>1.7979717300000001E-3</v>
      </c>
      <c r="D18" s="50"/>
      <c r="E18" s="50"/>
      <c r="F18" s="55">
        <v>2.1870000000000001E-2</v>
      </c>
      <c r="H18" s="40"/>
      <c r="I18" s="59" t="s">
        <v>8</v>
      </c>
      <c r="J18" s="51">
        <v>4.2398699999999998</v>
      </c>
      <c r="K18" s="40"/>
      <c r="L18" s="59" t="s">
        <v>8</v>
      </c>
      <c r="M18" s="51">
        <v>0.21057999999999999</v>
      </c>
    </row>
    <row r="19" spans="1:13" x14ac:dyDescent="0.3">
      <c r="A19" s="56"/>
      <c r="B19" s="56"/>
      <c r="C19" s="44"/>
      <c r="H19" s="40"/>
      <c r="I19" s="59"/>
      <c r="J19" s="51">
        <v>0.66900999999999999</v>
      </c>
      <c r="K19" s="40"/>
      <c r="L19" s="59"/>
      <c r="M19" s="51">
        <v>3.09E-2</v>
      </c>
    </row>
    <row r="20" spans="1:13" x14ac:dyDescent="0.3">
      <c r="A20" s="56"/>
      <c r="B20" s="56"/>
      <c r="C20" s="43"/>
      <c r="H20" s="40"/>
      <c r="I20" s="59"/>
      <c r="J20" s="51">
        <v>0.88829999999999998</v>
      </c>
      <c r="K20" s="40"/>
      <c r="L20" s="59"/>
      <c r="M20" s="51">
        <v>3.8580000000000003E-2</v>
      </c>
    </row>
    <row r="21" spans="1:13" x14ac:dyDescent="0.3">
      <c r="A21" s="56"/>
      <c r="B21" s="56"/>
      <c r="C21" s="44"/>
      <c r="H21" s="40"/>
      <c r="I21" s="59" t="s">
        <v>9</v>
      </c>
      <c r="J21" s="51">
        <v>8.8736626479999997E-2</v>
      </c>
      <c r="K21" s="40"/>
      <c r="L21" s="59" t="s">
        <v>9</v>
      </c>
      <c r="M21" s="51">
        <v>1.2449409910000001E-2</v>
      </c>
    </row>
    <row r="22" spans="1:13" x14ac:dyDescent="0.3">
      <c r="A22" s="56"/>
      <c r="B22" s="56"/>
      <c r="C22" s="44"/>
      <c r="H22" s="40"/>
      <c r="I22" s="59" t="s">
        <v>10</v>
      </c>
      <c r="J22" s="51">
        <v>23.590409999999999</v>
      </c>
      <c r="K22" s="40"/>
      <c r="L22" s="59" t="s">
        <v>10</v>
      </c>
      <c r="M22" s="51">
        <v>0.86804999999999999</v>
      </c>
    </row>
    <row r="23" spans="1:13" x14ac:dyDescent="0.3">
      <c r="A23" s="56"/>
      <c r="B23" s="56"/>
      <c r="C23" s="44"/>
      <c r="H23" s="40"/>
      <c r="I23" s="59" t="s">
        <v>11</v>
      </c>
      <c r="J23" s="51">
        <v>4.5730300000000002</v>
      </c>
      <c r="K23" s="40"/>
      <c r="L23" s="59" t="s">
        <v>11</v>
      </c>
      <c r="M23" s="51">
        <v>0.15597</v>
      </c>
    </row>
    <row r="24" spans="1:13" x14ac:dyDescent="0.3">
      <c r="A24" s="56"/>
      <c r="B24" s="56"/>
      <c r="C24" s="44"/>
      <c r="H24" s="40"/>
      <c r="I24" s="59"/>
      <c r="J24" s="51">
        <v>2.6357599999999999</v>
      </c>
      <c r="K24" s="40"/>
      <c r="L24" s="59"/>
      <c r="M24" s="51">
        <v>9.1740000000000002E-2</v>
      </c>
    </row>
    <row r="25" spans="1:13" x14ac:dyDescent="0.3">
      <c r="A25" s="56"/>
      <c r="B25" s="56"/>
      <c r="C25" s="41"/>
      <c r="H25" s="40"/>
      <c r="I25" s="59"/>
      <c r="J25" s="51">
        <v>4.4253499999999999</v>
      </c>
      <c r="K25" s="40"/>
      <c r="L25" s="59"/>
      <c r="M25" s="51">
        <v>0.16497000000000001</v>
      </c>
    </row>
    <row r="26" spans="1:13" x14ac:dyDescent="0.3">
      <c r="A26" s="56"/>
      <c r="B26" s="56"/>
      <c r="C26" s="43"/>
      <c r="H26" s="40"/>
      <c r="I26" s="59" t="s">
        <v>12</v>
      </c>
      <c r="J26" s="51">
        <v>2.3442151716200001</v>
      </c>
      <c r="K26" s="40"/>
      <c r="L26" s="59" t="s">
        <v>12</v>
      </c>
      <c r="M26" s="51">
        <v>8.4699999999999998E-2</v>
      </c>
    </row>
    <row r="27" spans="1:13" x14ac:dyDescent="0.3">
      <c r="A27" s="56"/>
      <c r="B27" s="56"/>
      <c r="C27" s="44"/>
      <c r="H27" s="40"/>
      <c r="I27" s="59"/>
      <c r="J27" s="51">
        <v>6.8753500000000001</v>
      </c>
      <c r="K27" s="40"/>
      <c r="L27" s="59"/>
      <c r="M27" s="51">
        <v>0.25091000000000002</v>
      </c>
    </row>
    <row r="28" spans="1:13" x14ac:dyDescent="0.3">
      <c r="A28" s="56"/>
      <c r="B28" s="56"/>
      <c r="C28" s="43"/>
      <c r="H28" s="40"/>
      <c r="I28" s="59"/>
      <c r="J28" s="51">
        <v>2.1968999999999999</v>
      </c>
      <c r="K28" s="40"/>
      <c r="L28" s="59"/>
      <c r="M28" s="51">
        <v>9.7720000000000001E-2</v>
      </c>
    </row>
    <row r="29" spans="1:13" x14ac:dyDescent="0.3">
      <c r="A29" s="56"/>
      <c r="B29" s="56"/>
      <c r="C29" s="44"/>
      <c r="H29" s="40"/>
      <c r="I29" s="59"/>
      <c r="J29" s="51">
        <v>0.79091999999999996</v>
      </c>
      <c r="K29" s="40"/>
      <c r="L29" s="59"/>
      <c r="M29" s="51">
        <v>2.9409999999999999E-2</v>
      </c>
    </row>
    <row r="30" spans="1:13" x14ac:dyDescent="0.3">
      <c r="A30" s="56"/>
      <c r="B30" s="56"/>
      <c r="C30" s="41"/>
      <c r="H30" s="40">
        <v>3</v>
      </c>
      <c r="I30" s="59" t="s">
        <v>7</v>
      </c>
      <c r="J30" s="51">
        <v>16.486910000000002</v>
      </c>
      <c r="K30" s="40">
        <v>27</v>
      </c>
      <c r="L30" s="59" t="s">
        <v>7</v>
      </c>
      <c r="M30" s="51">
        <v>0.68067597475999997</v>
      </c>
    </row>
    <row r="31" spans="1:13" x14ac:dyDescent="0.3">
      <c r="A31" s="56"/>
      <c r="B31" s="56"/>
      <c r="C31" s="44"/>
      <c r="H31" s="40"/>
      <c r="I31" s="59"/>
      <c r="J31" s="51">
        <v>9.5885800000000003</v>
      </c>
      <c r="K31" s="40"/>
      <c r="L31" s="59"/>
      <c r="M31" s="51">
        <v>0.40194000000000002</v>
      </c>
    </row>
    <row r="32" spans="1:13" x14ac:dyDescent="0.3">
      <c r="A32" s="56"/>
      <c r="B32" s="56"/>
      <c r="C32" s="44"/>
      <c r="H32" s="40"/>
      <c r="I32" s="59" t="s">
        <v>8</v>
      </c>
      <c r="J32" s="51">
        <v>12.20491</v>
      </c>
      <c r="K32" s="40"/>
      <c r="L32" s="59" t="s">
        <v>8</v>
      </c>
      <c r="M32" s="51">
        <v>0.47633999999999999</v>
      </c>
    </row>
    <row r="33" spans="1:13" x14ac:dyDescent="0.3">
      <c r="A33" s="56"/>
      <c r="B33" s="56"/>
      <c r="C33" s="44"/>
      <c r="H33" s="40"/>
      <c r="I33" s="59"/>
      <c r="J33" s="51">
        <v>1.9962500000000001</v>
      </c>
      <c r="K33" s="40"/>
      <c r="L33" s="59"/>
      <c r="M33" s="51">
        <v>7.0529999999999995E-2</v>
      </c>
    </row>
    <row r="34" spans="1:13" x14ac:dyDescent="0.3">
      <c r="A34" s="56"/>
      <c r="B34" s="56"/>
      <c r="C34" s="44"/>
      <c r="H34" s="40"/>
      <c r="I34" s="59"/>
      <c r="J34" s="51">
        <v>2.5588099999999998</v>
      </c>
      <c r="K34" s="40"/>
      <c r="L34" s="59"/>
      <c r="M34" s="51">
        <v>9.3310000000000004E-2</v>
      </c>
    </row>
    <row r="35" spans="1:13" x14ac:dyDescent="0.3">
      <c r="A35" s="56"/>
      <c r="B35" s="56"/>
      <c r="C35" s="42"/>
      <c r="H35" s="40"/>
      <c r="I35" s="59" t="s">
        <v>9</v>
      </c>
      <c r="J35" s="51">
        <v>0.12167662648000001</v>
      </c>
      <c r="K35" s="40"/>
      <c r="L35" s="59" t="s">
        <v>9</v>
      </c>
      <c r="M35" s="51">
        <v>1.069257216E-2</v>
      </c>
    </row>
    <row r="36" spans="1:13" x14ac:dyDescent="0.3">
      <c r="H36" s="40"/>
      <c r="I36" s="59" t="s">
        <v>10</v>
      </c>
      <c r="J36" s="51">
        <v>28.660440000000001</v>
      </c>
      <c r="K36" s="40"/>
      <c r="L36" s="59" t="s">
        <v>10</v>
      </c>
      <c r="M36" s="51">
        <v>2.1721276683099999</v>
      </c>
    </row>
    <row r="37" spans="1:13" x14ac:dyDescent="0.3">
      <c r="H37" s="40"/>
      <c r="I37" s="59" t="s">
        <v>11</v>
      </c>
      <c r="J37" s="51">
        <v>6.30037</v>
      </c>
      <c r="K37" s="40"/>
      <c r="L37" s="59" t="s">
        <v>11</v>
      </c>
      <c r="M37" s="51">
        <v>0.44834000000000002</v>
      </c>
    </row>
    <row r="38" spans="1:13" x14ac:dyDescent="0.3">
      <c r="H38" s="40"/>
      <c r="I38" s="59"/>
      <c r="J38" s="51">
        <v>3.6341000000000001</v>
      </c>
      <c r="K38" s="40"/>
      <c r="L38" s="59"/>
      <c r="M38" s="51">
        <v>0.26368999999999998</v>
      </c>
    </row>
    <row r="39" spans="1:13" x14ac:dyDescent="0.3">
      <c r="H39" s="40"/>
      <c r="I39" s="59"/>
      <c r="J39" s="51">
        <v>5.8263400000000001</v>
      </c>
      <c r="K39" s="40"/>
      <c r="L39" s="59"/>
      <c r="M39" s="51">
        <v>0.47669</v>
      </c>
    </row>
    <row r="40" spans="1:13" x14ac:dyDescent="0.3">
      <c r="H40" s="40"/>
      <c r="I40" s="59" t="s">
        <v>12</v>
      </c>
      <c r="J40" s="51">
        <v>3.2616451716200001</v>
      </c>
      <c r="K40" s="40"/>
      <c r="L40" s="59" t="s">
        <v>12</v>
      </c>
      <c r="M40" s="51">
        <v>0.22386202827000001</v>
      </c>
    </row>
    <row r="41" spans="1:13" x14ac:dyDescent="0.3">
      <c r="H41" s="40"/>
      <c r="I41" s="59"/>
      <c r="J41" s="51">
        <v>9.3568800000000003</v>
      </c>
      <c r="K41" s="40"/>
      <c r="L41" s="59"/>
      <c r="M41" s="51">
        <v>0.68293999999999999</v>
      </c>
    </row>
    <row r="42" spans="1:13" x14ac:dyDescent="0.3">
      <c r="H42" s="40"/>
      <c r="I42" s="59"/>
      <c r="J42" s="51">
        <v>3.1710500000000001</v>
      </c>
      <c r="K42" s="40"/>
      <c r="L42" s="59"/>
      <c r="M42" s="51">
        <v>0.22264</v>
      </c>
    </row>
    <row r="43" spans="1:13" x14ac:dyDescent="0.3">
      <c r="H43" s="40"/>
      <c r="I43" s="59"/>
      <c r="J43" s="51">
        <v>1.0966199999999999</v>
      </c>
      <c r="K43" s="40"/>
      <c r="L43" s="59"/>
      <c r="M43" s="51">
        <v>7.9119999999999996E-2</v>
      </c>
    </row>
    <row r="44" spans="1:13" x14ac:dyDescent="0.3">
      <c r="H44" s="40">
        <v>4</v>
      </c>
      <c r="I44" s="59" t="s">
        <v>7</v>
      </c>
      <c r="J44" s="51">
        <v>8.6722699999999993</v>
      </c>
      <c r="K44" s="40">
        <v>28</v>
      </c>
      <c r="L44" s="59" t="s">
        <v>7</v>
      </c>
      <c r="M44" s="51">
        <v>5.6115974759999999E-2</v>
      </c>
    </row>
    <row r="45" spans="1:13" x14ac:dyDescent="0.3">
      <c r="H45" s="40"/>
      <c r="I45" s="59"/>
      <c r="J45" s="51">
        <v>5.1073399999999998</v>
      </c>
      <c r="K45" s="40"/>
      <c r="L45" s="59"/>
      <c r="M45" s="51">
        <v>3.5990000000000001E-2</v>
      </c>
    </row>
    <row r="46" spans="1:13" x14ac:dyDescent="0.3">
      <c r="H46" s="40"/>
      <c r="I46" s="59" t="s">
        <v>8</v>
      </c>
      <c r="J46" s="51">
        <v>6.2674799999999999</v>
      </c>
      <c r="K46" s="40"/>
      <c r="L46" s="59" t="s">
        <v>8</v>
      </c>
      <c r="M46" s="51">
        <v>4.3549999999999998E-2</v>
      </c>
    </row>
    <row r="47" spans="1:13" x14ac:dyDescent="0.3">
      <c r="H47" s="40"/>
      <c r="I47" s="59"/>
      <c r="J47" s="51">
        <v>1.0042899999999999</v>
      </c>
      <c r="K47" s="40"/>
      <c r="L47" s="59"/>
      <c r="M47" s="51">
        <v>7.4739972300000004E-3</v>
      </c>
    </row>
    <row r="48" spans="1:13" x14ac:dyDescent="0.3">
      <c r="H48" s="40"/>
      <c r="I48" s="59"/>
      <c r="J48" s="51">
        <v>1.3057300000000001</v>
      </c>
      <c r="K48" s="40"/>
      <c r="L48" s="59"/>
      <c r="M48" s="51">
        <v>8.3999459800000002E-3</v>
      </c>
    </row>
    <row r="49" spans="8:13" x14ac:dyDescent="0.3">
      <c r="H49" s="40"/>
      <c r="I49" s="59" t="s">
        <v>9</v>
      </c>
      <c r="J49" s="51">
        <v>6.9835433060000007E-2</v>
      </c>
      <c r="K49" s="40"/>
      <c r="L49" s="59" t="s">
        <v>9</v>
      </c>
      <c r="M49" s="51">
        <v>3.9184880599999992E-3</v>
      </c>
    </row>
    <row r="50" spans="8:13" x14ac:dyDescent="0.3">
      <c r="H50" s="40"/>
      <c r="I50" s="59" t="s">
        <v>10</v>
      </c>
      <c r="J50" s="51">
        <v>19.50301694973</v>
      </c>
      <c r="K50" s="40"/>
      <c r="L50" s="59" t="s">
        <v>10</v>
      </c>
      <c r="M50" s="51">
        <v>0.17922766831</v>
      </c>
    </row>
    <row r="51" spans="8:13" x14ac:dyDescent="0.3">
      <c r="H51" s="40"/>
      <c r="I51" s="59" t="s">
        <v>11</v>
      </c>
      <c r="J51" s="51">
        <v>3.9626700000000001</v>
      </c>
      <c r="K51" s="40"/>
      <c r="L51" s="59" t="s">
        <v>11</v>
      </c>
      <c r="M51" s="51">
        <v>4.129E-2</v>
      </c>
    </row>
    <row r="52" spans="8:13" x14ac:dyDescent="0.3">
      <c r="H52" s="40"/>
      <c r="I52" s="59"/>
      <c r="J52" s="51">
        <v>2.2930899999999999</v>
      </c>
      <c r="K52" s="40"/>
      <c r="L52" s="59"/>
      <c r="M52" s="51">
        <v>2.2780000000000002E-2</v>
      </c>
    </row>
    <row r="53" spans="8:13" x14ac:dyDescent="0.3">
      <c r="H53" s="40"/>
      <c r="I53" s="59"/>
      <c r="J53" s="51">
        <v>3.8723800000000002</v>
      </c>
      <c r="K53" s="40"/>
      <c r="L53" s="59"/>
      <c r="M53" s="51">
        <v>3.669E-2</v>
      </c>
    </row>
    <row r="54" spans="8:13" x14ac:dyDescent="0.3">
      <c r="H54" s="40"/>
      <c r="I54" s="59" t="s">
        <v>12</v>
      </c>
      <c r="J54" s="51">
        <v>2.0139422915999998</v>
      </c>
      <c r="K54" s="40"/>
      <c r="L54" s="59" t="s">
        <v>12</v>
      </c>
      <c r="M54" s="51">
        <v>2.2422028269999998E-2</v>
      </c>
    </row>
    <row r="55" spans="8:13" x14ac:dyDescent="0.3">
      <c r="H55" s="40"/>
      <c r="I55" s="59"/>
      <c r="J55" s="51">
        <v>5.9412900000000004</v>
      </c>
      <c r="K55" s="40"/>
      <c r="L55" s="59"/>
      <c r="M55" s="51">
        <v>5.7880000000000001E-2</v>
      </c>
    </row>
    <row r="56" spans="8:13" x14ac:dyDescent="0.3">
      <c r="H56" s="40"/>
      <c r="I56" s="59"/>
      <c r="J56" s="51">
        <v>1.9478800000000001</v>
      </c>
      <c r="K56" s="40"/>
      <c r="L56" s="59"/>
      <c r="M56" s="51">
        <v>3.8379999999999997E-2</v>
      </c>
    </row>
    <row r="57" spans="8:13" x14ac:dyDescent="0.3">
      <c r="H57" s="40"/>
      <c r="I57" s="59"/>
      <c r="J57" s="51">
        <v>0.67796999999999996</v>
      </c>
      <c r="K57" s="40"/>
      <c r="L57" s="59"/>
      <c r="M57" s="51">
        <v>6.05539975E-3</v>
      </c>
    </row>
    <row r="58" spans="8:13" x14ac:dyDescent="0.3">
      <c r="H58" s="40">
        <v>6</v>
      </c>
      <c r="I58" s="59" t="s">
        <v>7</v>
      </c>
      <c r="J58" s="51">
        <v>6.1359999999999998E-2</v>
      </c>
      <c r="K58" s="40">
        <v>30</v>
      </c>
      <c r="L58" s="59" t="s">
        <v>7</v>
      </c>
      <c r="M58" s="51">
        <v>1.9355974760000002E-2</v>
      </c>
    </row>
    <row r="59" spans="8:13" x14ac:dyDescent="0.3">
      <c r="H59" s="40"/>
      <c r="I59" s="59"/>
      <c r="J59" s="51">
        <v>3.5299999999999998E-2</v>
      </c>
      <c r="K59" s="40"/>
      <c r="L59" s="59"/>
      <c r="M59" s="51">
        <v>1.221E-2</v>
      </c>
    </row>
    <row r="60" spans="8:13" x14ac:dyDescent="0.3">
      <c r="H60" s="40"/>
      <c r="I60" s="59" t="s">
        <v>8</v>
      </c>
      <c r="J60" s="51">
        <v>4.3240000000000001E-2</v>
      </c>
      <c r="K60" s="40"/>
      <c r="L60" s="59" t="s">
        <v>8</v>
      </c>
      <c r="M60" s="51">
        <v>1.67E-2</v>
      </c>
    </row>
    <row r="61" spans="8:13" x14ac:dyDescent="0.3">
      <c r="H61" s="40"/>
      <c r="I61" s="59"/>
      <c r="J61" s="51">
        <v>5.7285910799999996E-3</v>
      </c>
      <c r="K61" s="40"/>
      <c r="L61" s="59"/>
      <c r="M61" s="51">
        <v>1.6570656500000001E-3</v>
      </c>
    </row>
    <row r="62" spans="8:13" x14ac:dyDescent="0.3">
      <c r="H62" s="40"/>
      <c r="I62" s="59"/>
      <c r="J62" s="51">
        <v>7.6211673600000002E-3</v>
      </c>
      <c r="K62" s="40"/>
      <c r="L62" s="59"/>
      <c r="M62" s="51">
        <v>2.0140914699999998E-3</v>
      </c>
    </row>
    <row r="63" spans="8:13" x14ac:dyDescent="0.3">
      <c r="H63" s="40"/>
      <c r="I63" s="59" t="s">
        <v>9</v>
      </c>
      <c r="J63" s="51">
        <v>2.7680013099999996E-3</v>
      </c>
      <c r="K63" s="40"/>
      <c r="L63" s="59" t="s">
        <v>9</v>
      </c>
      <c r="M63" s="51">
        <v>4.1859692699999992E-3</v>
      </c>
    </row>
    <row r="64" spans="8:13" x14ac:dyDescent="0.3">
      <c r="H64" s="40"/>
      <c r="I64" s="59" t="s">
        <v>10</v>
      </c>
      <c r="J64" s="51">
        <v>0.22040694973</v>
      </c>
      <c r="K64" s="40"/>
      <c r="L64" s="59" t="s">
        <v>10</v>
      </c>
      <c r="M64" s="51">
        <v>2.8577668310000002E-2</v>
      </c>
    </row>
    <row r="65" spans="8:13" x14ac:dyDescent="0.3">
      <c r="H65" s="40"/>
      <c r="I65" s="59" t="s">
        <v>11</v>
      </c>
      <c r="J65" s="51">
        <v>4.0809999999999999E-2</v>
      </c>
      <c r="K65" s="40"/>
      <c r="L65" s="59" t="s">
        <v>11</v>
      </c>
      <c r="M65" s="51">
        <v>5.6636290699999996E-3</v>
      </c>
    </row>
    <row r="66" spans="8:13" x14ac:dyDescent="0.3">
      <c r="H66" s="40"/>
      <c r="I66" s="59"/>
      <c r="J66" s="51">
        <v>2.3380000000000001E-2</v>
      </c>
      <c r="K66" s="40"/>
      <c r="L66" s="59"/>
      <c r="M66" s="51">
        <v>3.9830969599999998E-3</v>
      </c>
    </row>
    <row r="67" spans="8:13" x14ac:dyDescent="0.3">
      <c r="H67" s="40"/>
      <c r="I67" s="59"/>
      <c r="J67" s="51">
        <v>4.1689999999999998E-2</v>
      </c>
      <c r="K67" s="40"/>
      <c r="L67" s="59"/>
      <c r="M67" s="51">
        <v>4.4514955200000003E-3</v>
      </c>
    </row>
    <row r="68" spans="8:13" x14ac:dyDescent="0.3">
      <c r="H68" s="40"/>
      <c r="I68" s="59" t="s">
        <v>12</v>
      </c>
      <c r="J68" s="51">
        <v>2.20422916E-2</v>
      </c>
      <c r="K68" s="40"/>
      <c r="L68" s="59" t="s">
        <v>12</v>
      </c>
      <c r="M68" s="51">
        <v>6.0248501199999995E-3</v>
      </c>
    </row>
    <row r="69" spans="8:13" x14ac:dyDescent="0.3">
      <c r="H69" s="40"/>
      <c r="I69" s="59"/>
      <c r="J69" s="51">
        <v>6.2469999999999998E-2</v>
      </c>
      <c r="K69" s="40"/>
      <c r="L69" s="59"/>
      <c r="M69" s="51">
        <v>1.1169999999999999E-2</v>
      </c>
    </row>
    <row r="70" spans="8:13" x14ac:dyDescent="0.3">
      <c r="H70" s="40"/>
      <c r="I70" s="59"/>
      <c r="J70" s="51">
        <v>3.8989999999999997E-2</v>
      </c>
      <c r="K70" s="40"/>
      <c r="L70" s="59"/>
      <c r="M70" s="51">
        <v>1.9550000000000001E-2</v>
      </c>
    </row>
    <row r="71" spans="8:13" x14ac:dyDescent="0.3">
      <c r="H71" s="40"/>
      <c r="I71" s="59"/>
      <c r="J71" s="51">
        <v>6.3352855699999999E-3</v>
      </c>
      <c r="K71" s="40"/>
      <c r="L71" s="59"/>
      <c r="M71" s="51">
        <v>0</v>
      </c>
    </row>
    <row r="72" spans="8:13" x14ac:dyDescent="0.3">
      <c r="H72" s="40">
        <v>7</v>
      </c>
      <c r="I72" s="59" t="s">
        <v>7</v>
      </c>
      <c r="J72" s="51">
        <v>5.4020700000000001</v>
      </c>
      <c r="K72" s="40">
        <v>31</v>
      </c>
      <c r="L72" s="59" t="s">
        <v>7</v>
      </c>
      <c r="M72" s="51">
        <v>2.487E-2</v>
      </c>
    </row>
    <row r="73" spans="8:13" x14ac:dyDescent="0.3">
      <c r="H73" s="40"/>
      <c r="I73" s="59"/>
      <c r="J73" s="51">
        <v>3.2126800000000002</v>
      </c>
      <c r="K73" s="40"/>
      <c r="L73" s="59"/>
      <c r="M73" s="51">
        <v>1.6369999999999999E-2</v>
      </c>
    </row>
    <row r="74" spans="8:13" x14ac:dyDescent="0.3">
      <c r="H74" s="40"/>
      <c r="I74" s="59" t="s">
        <v>8</v>
      </c>
      <c r="J74" s="51">
        <v>3.8242600000000002</v>
      </c>
      <c r="K74" s="40"/>
      <c r="L74" s="59" t="s">
        <v>8</v>
      </c>
      <c r="M74" s="51">
        <v>1.7500000000000002E-2</v>
      </c>
    </row>
    <row r="75" spans="8:13" x14ac:dyDescent="0.3">
      <c r="H75" s="40"/>
      <c r="I75" s="59"/>
      <c r="J75" s="51">
        <v>0.59765999999999997</v>
      </c>
      <c r="K75" s="40"/>
      <c r="L75" s="59"/>
      <c r="M75" s="51">
        <v>3.5727582699999999E-3</v>
      </c>
    </row>
    <row r="76" spans="8:13" x14ac:dyDescent="0.3">
      <c r="H76" s="40"/>
      <c r="I76" s="59"/>
      <c r="J76" s="51">
        <v>0.78246000000000004</v>
      </c>
      <c r="K76" s="40"/>
      <c r="L76" s="59"/>
      <c r="M76" s="51">
        <v>3.7686860400000001E-3</v>
      </c>
    </row>
    <row r="77" spans="8:13" x14ac:dyDescent="0.3">
      <c r="H77" s="40"/>
      <c r="I77" s="59" t="s">
        <v>9</v>
      </c>
      <c r="J77" s="51">
        <v>8.9015433059999996E-2</v>
      </c>
      <c r="K77" s="40"/>
      <c r="L77" s="59" t="s">
        <v>9</v>
      </c>
      <c r="M77" s="51">
        <v>1.0630106799999995E-3</v>
      </c>
    </row>
    <row r="78" spans="8:13" x14ac:dyDescent="0.3">
      <c r="H78" s="40"/>
      <c r="I78" s="59" t="s">
        <v>10</v>
      </c>
      <c r="J78" s="51">
        <v>21.026886949729999</v>
      </c>
      <c r="K78" s="40"/>
      <c r="L78" s="59" t="s">
        <v>10</v>
      </c>
      <c r="M78" s="51">
        <v>5.8362366739999998E-2</v>
      </c>
    </row>
    <row r="79" spans="8:13" x14ac:dyDescent="0.3">
      <c r="H79" s="40"/>
      <c r="I79" s="59" t="s">
        <v>11</v>
      </c>
      <c r="J79" s="51">
        <v>3.85616</v>
      </c>
      <c r="K79" s="40"/>
      <c r="L79" s="59" t="s">
        <v>11</v>
      </c>
      <c r="M79" s="51">
        <v>1.204E-2</v>
      </c>
    </row>
    <row r="80" spans="8:13" x14ac:dyDescent="0.3">
      <c r="H80" s="40"/>
      <c r="I80" s="59"/>
      <c r="J80" s="51">
        <v>2.2327300000000001</v>
      </c>
      <c r="K80" s="40"/>
      <c r="L80" s="59"/>
      <c r="M80" s="51">
        <v>5.0181553300000003E-3</v>
      </c>
    </row>
    <row r="81" spans="8:13" x14ac:dyDescent="0.3">
      <c r="H81" s="40"/>
      <c r="I81" s="59"/>
      <c r="J81" s="51">
        <v>3.9106399999999999</v>
      </c>
      <c r="K81" s="40"/>
      <c r="L81" s="59"/>
      <c r="M81" s="51">
        <v>9.8300479199999995E-3</v>
      </c>
    </row>
    <row r="82" spans="8:13" x14ac:dyDescent="0.3">
      <c r="H82" s="40"/>
      <c r="I82" s="59" t="s">
        <v>12</v>
      </c>
      <c r="J82" s="51">
        <v>1.9265322915999998</v>
      </c>
      <c r="K82" s="40"/>
      <c r="L82" s="59" t="s">
        <v>12</v>
      </c>
      <c r="M82" s="51">
        <v>3.7478743500000003E-3</v>
      </c>
    </row>
    <row r="83" spans="8:13" x14ac:dyDescent="0.3">
      <c r="H83" s="40"/>
      <c r="I83" s="59"/>
      <c r="J83" s="51">
        <v>5.9160300000000001</v>
      </c>
      <c r="K83" s="40"/>
      <c r="L83" s="59"/>
      <c r="M83" s="51">
        <v>1.6809999999999999E-2</v>
      </c>
    </row>
    <row r="84" spans="8:13" x14ac:dyDescent="0.3">
      <c r="H84" s="40"/>
      <c r="I84" s="59"/>
      <c r="J84" s="51">
        <v>1.82189</v>
      </c>
      <c r="K84" s="40"/>
      <c r="L84" s="59"/>
      <c r="M84" s="51">
        <v>2.4920000000000001E-2</v>
      </c>
    </row>
    <row r="85" spans="8:13" x14ac:dyDescent="0.3">
      <c r="H85" s="40"/>
      <c r="I85" s="59"/>
      <c r="J85" s="51">
        <v>0.66524000000000005</v>
      </c>
      <c r="K85" s="40"/>
      <c r="L85" s="59"/>
      <c r="M85" s="51">
        <v>0</v>
      </c>
    </row>
    <row r="86" spans="8:13" x14ac:dyDescent="0.3">
      <c r="H86" s="40">
        <v>8</v>
      </c>
      <c r="I86" s="59" t="s">
        <v>7</v>
      </c>
      <c r="J86" s="51">
        <v>3.2261099999999998</v>
      </c>
      <c r="K86" s="40">
        <v>32</v>
      </c>
      <c r="L86" s="59" t="s">
        <v>7</v>
      </c>
      <c r="M86" s="51">
        <v>2.5319999999999999E-2</v>
      </c>
    </row>
    <row r="87" spans="8:13" x14ac:dyDescent="0.3">
      <c r="H87" s="40"/>
      <c r="I87" s="59"/>
      <c r="J87" s="51">
        <v>1.90855</v>
      </c>
      <c r="K87" s="40"/>
      <c r="L87" s="59"/>
      <c r="M87" s="51">
        <v>1.5610000000000001E-2</v>
      </c>
    </row>
    <row r="88" spans="8:13" x14ac:dyDescent="0.3">
      <c r="H88" s="40"/>
      <c r="I88" s="59" t="s">
        <v>8</v>
      </c>
      <c r="J88" s="51">
        <v>2.2885200000000001</v>
      </c>
      <c r="K88" s="40"/>
      <c r="L88" s="59" t="s">
        <v>8</v>
      </c>
      <c r="M88" s="51">
        <v>2.0299999999999999E-2</v>
      </c>
    </row>
    <row r="89" spans="8:13" x14ac:dyDescent="0.3">
      <c r="H89" s="40"/>
      <c r="I89" s="59"/>
      <c r="J89" s="51">
        <v>0.35025000000000001</v>
      </c>
      <c r="K89" s="40"/>
      <c r="L89" s="59"/>
      <c r="M89" s="51">
        <v>0</v>
      </c>
    </row>
    <row r="90" spans="8:13" x14ac:dyDescent="0.3">
      <c r="H90" s="40"/>
      <c r="I90" s="59"/>
      <c r="J90" s="51">
        <v>0.46892</v>
      </c>
      <c r="K90" s="40"/>
      <c r="L90" s="59"/>
      <c r="M90" s="51">
        <v>2.7300539700000001E-3</v>
      </c>
    </row>
    <row r="91" spans="8:13" x14ac:dyDescent="0.3">
      <c r="H91" s="40"/>
      <c r="I91" s="59" t="s">
        <v>9</v>
      </c>
      <c r="J91" s="51">
        <v>4.6255433060000004E-2</v>
      </c>
      <c r="K91" s="40"/>
      <c r="L91" s="59" t="s">
        <v>9</v>
      </c>
      <c r="M91" s="51">
        <v>1.33331387E-3</v>
      </c>
    </row>
    <row r="92" spans="8:13" x14ac:dyDescent="0.3">
      <c r="H92" s="40"/>
      <c r="I92" s="59" t="s">
        <v>10</v>
      </c>
      <c r="J92" s="51">
        <v>12.76872694973</v>
      </c>
      <c r="K92" s="40"/>
      <c r="L92" s="59" t="s">
        <v>10</v>
      </c>
      <c r="M92" s="51">
        <v>5.6292366739999995E-2</v>
      </c>
    </row>
    <row r="93" spans="8:13" x14ac:dyDescent="0.3">
      <c r="H93" s="40"/>
      <c r="I93" s="59" t="s">
        <v>11</v>
      </c>
      <c r="J93" s="51">
        <v>2.3176700000000001</v>
      </c>
      <c r="K93" s="40"/>
      <c r="L93" s="59" t="s">
        <v>11</v>
      </c>
      <c r="M93" s="51">
        <v>1.026E-2</v>
      </c>
    </row>
    <row r="94" spans="8:13" x14ac:dyDescent="0.3">
      <c r="H94" s="40"/>
      <c r="I94" s="59"/>
      <c r="J94" s="51">
        <v>1.3556600000000001</v>
      </c>
      <c r="K94" s="40"/>
      <c r="L94" s="59"/>
      <c r="M94" s="51">
        <v>4.0517997099999998E-3</v>
      </c>
    </row>
    <row r="95" spans="8:13" x14ac:dyDescent="0.3">
      <c r="H95" s="40"/>
      <c r="I95" s="59"/>
      <c r="J95" s="51">
        <v>2.3738800000000002</v>
      </c>
      <c r="K95" s="40"/>
      <c r="L95" s="59"/>
      <c r="M95" s="51">
        <v>1.1730000000000001E-2</v>
      </c>
    </row>
    <row r="96" spans="8:13" x14ac:dyDescent="0.3">
      <c r="H96" s="40"/>
      <c r="I96" s="59" t="s">
        <v>12</v>
      </c>
      <c r="J96" s="51">
        <v>1.1567922916</v>
      </c>
      <c r="K96" s="40"/>
      <c r="L96" s="59" t="s">
        <v>12</v>
      </c>
      <c r="M96" s="51">
        <v>3.5732025600000005E-3</v>
      </c>
    </row>
    <row r="97" spans="8:13" x14ac:dyDescent="0.3">
      <c r="H97" s="40"/>
      <c r="I97" s="59"/>
      <c r="J97" s="51">
        <v>3.5626099999999998</v>
      </c>
      <c r="K97" s="40"/>
      <c r="L97" s="59"/>
      <c r="M97" s="51">
        <v>1.4619999999999999E-2</v>
      </c>
    </row>
    <row r="98" spans="8:13" x14ac:dyDescent="0.3">
      <c r="H98" s="40"/>
      <c r="I98" s="59"/>
      <c r="J98" s="51">
        <v>1.11033</v>
      </c>
      <c r="K98" s="40"/>
      <c r="L98" s="59"/>
      <c r="M98" s="51">
        <v>2.631E-2</v>
      </c>
    </row>
    <row r="99" spans="8:13" x14ac:dyDescent="0.3">
      <c r="H99" s="40"/>
      <c r="I99" s="59"/>
      <c r="J99" s="51">
        <v>0.40194000000000002</v>
      </c>
      <c r="K99" s="40"/>
      <c r="L99" s="59"/>
      <c r="M99" s="51">
        <v>0</v>
      </c>
    </row>
    <row r="100" spans="8:13" x14ac:dyDescent="0.3">
      <c r="H100" s="40">
        <v>9</v>
      </c>
      <c r="I100" s="59" t="s">
        <v>7</v>
      </c>
      <c r="J100" s="51">
        <v>0.46023999999999998</v>
      </c>
      <c r="K100" s="40">
        <v>33</v>
      </c>
      <c r="L100" s="59" t="s">
        <v>7</v>
      </c>
      <c r="M100" s="51">
        <v>4.4150000000000002E-2</v>
      </c>
    </row>
    <row r="101" spans="8:13" x14ac:dyDescent="0.3">
      <c r="H101" s="40"/>
      <c r="I101" s="59"/>
      <c r="J101" s="51">
        <v>0.27101999999999998</v>
      </c>
      <c r="K101" s="40"/>
      <c r="L101" s="59"/>
      <c r="M101" s="51">
        <v>2.759E-2</v>
      </c>
    </row>
    <row r="102" spans="8:13" x14ac:dyDescent="0.3">
      <c r="H102" s="40"/>
      <c r="I102" s="59" t="s">
        <v>8</v>
      </c>
      <c r="J102" s="51">
        <v>0.31827</v>
      </c>
      <c r="K102" s="40"/>
      <c r="L102" s="59" t="s">
        <v>8</v>
      </c>
      <c r="M102" s="51">
        <v>3.1710000000000002E-2</v>
      </c>
    </row>
    <row r="103" spans="8:13" x14ac:dyDescent="0.3">
      <c r="H103" s="40"/>
      <c r="I103" s="59"/>
      <c r="J103" s="51">
        <v>5.2949999999999997E-2</v>
      </c>
      <c r="K103" s="40"/>
      <c r="L103" s="59"/>
      <c r="M103" s="51">
        <v>5.7150547500000003E-3</v>
      </c>
    </row>
    <row r="104" spans="8:13" x14ac:dyDescent="0.3">
      <c r="H104" s="40"/>
      <c r="I104" s="59"/>
      <c r="J104" s="51">
        <v>6.7070000000000005E-2</v>
      </c>
      <c r="K104" s="40"/>
      <c r="L104" s="59"/>
      <c r="M104" s="51">
        <v>6.4385635000000002E-3</v>
      </c>
    </row>
    <row r="105" spans="8:13" x14ac:dyDescent="0.3">
      <c r="H105" s="40"/>
      <c r="I105" s="59" t="s">
        <v>9</v>
      </c>
      <c r="J105" s="51">
        <v>1.1730462750000002E-2</v>
      </c>
      <c r="K105" s="40"/>
      <c r="L105" s="59" t="s">
        <v>9</v>
      </c>
      <c r="M105" s="51">
        <v>6.9605533999999962E-4</v>
      </c>
    </row>
    <row r="106" spans="8:13" x14ac:dyDescent="0.3">
      <c r="H106" s="40"/>
      <c r="I106" s="59" t="s">
        <v>10</v>
      </c>
      <c r="J106" s="51">
        <v>1.2869999999999999</v>
      </c>
      <c r="K106" s="40"/>
      <c r="L106" s="59" t="s">
        <v>10</v>
      </c>
      <c r="M106" s="51">
        <v>8.769236674E-2</v>
      </c>
    </row>
    <row r="107" spans="8:13" x14ac:dyDescent="0.3">
      <c r="H107" s="40"/>
      <c r="I107" s="59" t="s">
        <v>11</v>
      </c>
      <c r="J107" s="51">
        <v>0.24482999999999999</v>
      </c>
      <c r="K107" s="40"/>
      <c r="L107" s="59" t="s">
        <v>11</v>
      </c>
      <c r="M107" s="51">
        <v>1.866E-2</v>
      </c>
    </row>
    <row r="108" spans="8:13" x14ac:dyDescent="0.3">
      <c r="H108" s="40"/>
      <c r="I108" s="59"/>
      <c r="J108" s="51">
        <v>0.14013999999999999</v>
      </c>
      <c r="K108" s="40"/>
      <c r="L108" s="59"/>
      <c r="M108" s="51">
        <v>7.5165722699999998E-3</v>
      </c>
    </row>
    <row r="109" spans="8:13" x14ac:dyDescent="0.3">
      <c r="H109" s="40"/>
      <c r="I109" s="59"/>
      <c r="J109" s="51">
        <v>0.23507</v>
      </c>
      <c r="K109" s="40"/>
      <c r="L109" s="59"/>
      <c r="M109" s="51">
        <v>1.9550000000000001E-2</v>
      </c>
    </row>
    <row r="110" spans="8:13" x14ac:dyDescent="0.3">
      <c r="H110" s="40"/>
      <c r="I110" s="59" t="s">
        <v>12</v>
      </c>
      <c r="J110" s="51">
        <v>0.11655577562</v>
      </c>
      <c r="K110" s="40"/>
      <c r="L110" s="59" t="s">
        <v>12</v>
      </c>
      <c r="M110" s="51">
        <v>9.1523993799999988E-3</v>
      </c>
    </row>
    <row r="111" spans="8:13" x14ac:dyDescent="0.3">
      <c r="H111" s="40"/>
      <c r="I111" s="59"/>
      <c r="J111" s="51">
        <v>0.36101</v>
      </c>
      <c r="K111" s="40"/>
      <c r="L111" s="59"/>
      <c r="M111" s="51">
        <v>2.903E-2</v>
      </c>
    </row>
    <row r="112" spans="8:13" x14ac:dyDescent="0.3">
      <c r="H112" s="40"/>
      <c r="I112" s="59"/>
      <c r="J112" s="51">
        <v>0.12953000000000001</v>
      </c>
      <c r="K112" s="40"/>
      <c r="L112" s="59"/>
      <c r="M112" s="51">
        <v>3.0360000000000002E-2</v>
      </c>
    </row>
    <row r="113" spans="8:13" x14ac:dyDescent="0.3">
      <c r="H113" s="40"/>
      <c r="I113" s="59"/>
      <c r="J113" s="51">
        <v>4.2270000000000002E-2</v>
      </c>
      <c r="K113" s="40"/>
      <c r="L113" s="59"/>
      <c r="M113" s="51">
        <v>2.9347984500000001E-3</v>
      </c>
    </row>
    <row r="114" spans="8:13" x14ac:dyDescent="0.3">
      <c r="H114" s="40">
        <v>10</v>
      </c>
      <c r="I114" s="59" t="s">
        <v>7</v>
      </c>
      <c r="J114" s="51">
        <v>0.14113999999999999</v>
      </c>
      <c r="K114" s="40">
        <v>34</v>
      </c>
      <c r="L114" s="59" t="s">
        <v>7</v>
      </c>
      <c r="M114" s="51">
        <v>4.8140000000000002E-2</v>
      </c>
    </row>
    <row r="115" spans="8:13" x14ac:dyDescent="0.3">
      <c r="H115" s="40"/>
      <c r="I115" s="59"/>
      <c r="J115" s="51">
        <v>8.3470000000000003E-2</v>
      </c>
      <c r="K115" s="40"/>
      <c r="L115" s="59"/>
      <c r="M115" s="51">
        <v>2.9829999999999999E-2</v>
      </c>
    </row>
    <row r="116" spans="8:13" x14ac:dyDescent="0.3">
      <c r="H116" s="40"/>
      <c r="I116" s="59" t="s">
        <v>8</v>
      </c>
      <c r="J116" s="51">
        <v>9.8519999999999996E-2</v>
      </c>
      <c r="K116" s="40"/>
      <c r="L116" s="59" t="s">
        <v>8</v>
      </c>
      <c r="M116" s="51">
        <v>3.2489999999999998E-2</v>
      </c>
    </row>
    <row r="117" spans="8:13" x14ac:dyDescent="0.3">
      <c r="H117" s="40"/>
      <c r="I117" s="59"/>
      <c r="J117" s="51">
        <v>1.5939999999999999E-2</v>
      </c>
      <c r="K117" s="40"/>
      <c r="L117" s="59"/>
      <c r="M117" s="51">
        <v>4.5264568000000002E-3</v>
      </c>
    </row>
    <row r="118" spans="8:13" x14ac:dyDescent="0.3">
      <c r="H118" s="40"/>
      <c r="I118" s="59"/>
      <c r="J118" s="51">
        <v>1.9060000000000001E-2</v>
      </c>
      <c r="K118" s="40"/>
      <c r="L118" s="59"/>
      <c r="M118" s="51">
        <v>7.2695336999999997E-3</v>
      </c>
    </row>
    <row r="119" spans="8:13" x14ac:dyDescent="0.3">
      <c r="H119" s="40"/>
      <c r="I119" s="59" t="s">
        <v>9</v>
      </c>
      <c r="J119" s="51">
        <v>5.1704627500000003E-3</v>
      </c>
      <c r="K119" s="40"/>
      <c r="L119" s="59" t="s">
        <v>9</v>
      </c>
      <c r="M119" s="51">
        <v>5.1481014800000002E-3</v>
      </c>
    </row>
    <row r="120" spans="8:13" x14ac:dyDescent="0.3">
      <c r="H120" s="40"/>
      <c r="I120" s="59" t="s">
        <v>10</v>
      </c>
      <c r="J120" s="51">
        <v>0.37373000000000001</v>
      </c>
      <c r="K120" s="40"/>
      <c r="L120" s="59" t="s">
        <v>10</v>
      </c>
      <c r="M120" s="51">
        <v>0.11465259436</v>
      </c>
    </row>
    <row r="121" spans="8:13" x14ac:dyDescent="0.3">
      <c r="H121" s="40"/>
      <c r="I121" s="59" t="s">
        <v>11</v>
      </c>
      <c r="J121" s="51">
        <v>6.7080000000000001E-2</v>
      </c>
      <c r="K121" s="40"/>
      <c r="L121" s="59" t="s">
        <v>11</v>
      </c>
      <c r="M121" s="51">
        <v>2.239E-2</v>
      </c>
    </row>
    <row r="122" spans="8:13" x14ac:dyDescent="0.3">
      <c r="H122" s="40"/>
      <c r="I122" s="59"/>
      <c r="J122" s="51">
        <v>3.934E-2</v>
      </c>
      <c r="K122" s="40"/>
      <c r="L122" s="59"/>
      <c r="M122" s="51">
        <v>1.0120000000000001E-2</v>
      </c>
    </row>
    <row r="123" spans="8:13" x14ac:dyDescent="0.3">
      <c r="H123" s="40"/>
      <c r="I123" s="59"/>
      <c r="J123" s="51">
        <v>7.1940000000000004E-2</v>
      </c>
      <c r="K123" s="40"/>
      <c r="L123" s="59"/>
      <c r="M123" s="51">
        <v>2.0809999999999999E-2</v>
      </c>
    </row>
    <row r="124" spans="8:13" x14ac:dyDescent="0.3">
      <c r="H124" s="40"/>
      <c r="I124" s="59" t="s">
        <v>12</v>
      </c>
      <c r="J124" s="51">
        <v>3.3745775620000001E-2</v>
      </c>
      <c r="K124" s="40"/>
      <c r="L124" s="59" t="s">
        <v>12</v>
      </c>
      <c r="M124" s="51">
        <v>1.1917391449999998E-2</v>
      </c>
    </row>
    <row r="125" spans="8:13" x14ac:dyDescent="0.3">
      <c r="H125" s="40"/>
      <c r="I125" s="59"/>
      <c r="J125" s="51">
        <v>0.10879</v>
      </c>
      <c r="K125" s="40"/>
      <c r="L125" s="59"/>
      <c r="M125" s="51">
        <v>2.9069999999999999E-2</v>
      </c>
    </row>
    <row r="126" spans="8:13" x14ac:dyDescent="0.3">
      <c r="H126" s="40"/>
      <c r="I126" s="59"/>
      <c r="J126" s="51">
        <v>4.8669999999999998E-2</v>
      </c>
      <c r="K126" s="40"/>
      <c r="L126" s="59"/>
      <c r="M126" s="51">
        <v>1.1860000000000002E-2</v>
      </c>
    </row>
    <row r="127" spans="8:13" x14ac:dyDescent="0.3">
      <c r="H127" s="40"/>
      <c r="I127" s="59"/>
      <c r="J127" s="51">
        <v>1.1639999999999999E-2</v>
      </c>
      <c r="K127" s="40"/>
      <c r="L127" s="59"/>
      <c r="M127" s="51">
        <v>3.3232732600000001E-3</v>
      </c>
    </row>
    <row r="128" spans="8:13" x14ac:dyDescent="0.3">
      <c r="H128" s="40">
        <v>12</v>
      </c>
      <c r="I128" s="59" t="s">
        <v>7</v>
      </c>
      <c r="J128" s="51">
        <v>9.1910000000000006E-2</v>
      </c>
      <c r="K128" s="40">
        <v>36</v>
      </c>
      <c r="L128" s="59" t="s">
        <v>7</v>
      </c>
      <c r="M128" s="51">
        <v>0.97270000000000001</v>
      </c>
    </row>
    <row r="129" spans="8:13" x14ac:dyDescent="0.3">
      <c r="H129" s="40"/>
      <c r="I129" s="59"/>
      <c r="J129" s="51">
        <v>5.3449999999999998E-2</v>
      </c>
      <c r="K129" s="40"/>
      <c r="L129" s="59"/>
      <c r="M129" s="51">
        <v>0.57691000000000003</v>
      </c>
    </row>
    <row r="130" spans="8:13" x14ac:dyDescent="0.3">
      <c r="H130" s="40"/>
      <c r="I130" s="59" t="s">
        <v>8</v>
      </c>
      <c r="J130" s="51">
        <v>6.59E-2</v>
      </c>
      <c r="K130" s="40"/>
      <c r="L130" s="59" t="s">
        <v>8</v>
      </c>
      <c r="M130" s="51">
        <v>0.69674999999999998</v>
      </c>
    </row>
    <row r="131" spans="8:13" x14ac:dyDescent="0.3">
      <c r="H131" s="40"/>
      <c r="I131" s="59"/>
      <c r="J131" s="51">
        <v>1.052E-2</v>
      </c>
      <c r="K131" s="40"/>
      <c r="L131" s="59"/>
      <c r="M131" s="51">
        <v>0.10156</v>
      </c>
    </row>
    <row r="132" spans="8:13" x14ac:dyDescent="0.3">
      <c r="H132" s="40"/>
      <c r="I132" s="59"/>
      <c r="J132" s="51">
        <v>1.345E-2</v>
      </c>
      <c r="K132" s="40"/>
      <c r="L132" s="59"/>
      <c r="M132" s="51">
        <v>0.13891000000000001</v>
      </c>
    </row>
    <row r="133" spans="8:13" x14ac:dyDescent="0.3">
      <c r="H133" s="40"/>
      <c r="I133" s="59" t="s">
        <v>9</v>
      </c>
      <c r="J133" s="51">
        <v>7.920462750000001E-3</v>
      </c>
      <c r="K133" s="40"/>
      <c r="L133" s="59" t="s">
        <v>9</v>
      </c>
      <c r="M133" s="51">
        <v>6.2247403399999998E-3</v>
      </c>
    </row>
    <row r="134" spans="8:13" x14ac:dyDescent="0.3">
      <c r="H134" s="40"/>
      <c r="I134" s="59" t="s">
        <v>10</v>
      </c>
      <c r="J134" s="51">
        <v>0.23974999999999999</v>
      </c>
      <c r="K134" s="40"/>
      <c r="L134" s="59" t="s">
        <v>10</v>
      </c>
      <c r="M134" s="51">
        <v>1.66517259436</v>
      </c>
    </row>
    <row r="135" spans="8:13" x14ac:dyDescent="0.3">
      <c r="H135" s="40"/>
      <c r="I135" s="59" t="s">
        <v>11</v>
      </c>
      <c r="J135" s="51">
        <v>4.8189999999999997E-2</v>
      </c>
      <c r="K135" s="40"/>
      <c r="L135" s="59" t="s">
        <v>11</v>
      </c>
      <c r="M135" s="51">
        <v>0.31236000000000003</v>
      </c>
    </row>
    <row r="136" spans="8:13" x14ac:dyDescent="0.3">
      <c r="H136" s="40"/>
      <c r="I136" s="59"/>
      <c r="J136" s="51">
        <v>1.9449999999999999E-2</v>
      </c>
      <c r="K136" s="40"/>
      <c r="L136" s="59"/>
      <c r="M136" s="51">
        <v>0.18181</v>
      </c>
    </row>
    <row r="137" spans="8:13" x14ac:dyDescent="0.3">
      <c r="H137" s="40"/>
      <c r="I137" s="59"/>
      <c r="J137" s="51">
        <v>4.4159999999999998E-2</v>
      </c>
      <c r="K137" s="40"/>
      <c r="L137" s="59"/>
      <c r="M137" s="51">
        <v>0.31696999999999997</v>
      </c>
    </row>
    <row r="138" spans="8:13" x14ac:dyDescent="0.3">
      <c r="H138" s="40"/>
      <c r="I138" s="59" t="s">
        <v>12</v>
      </c>
      <c r="J138" s="51">
        <v>2.0905775619999997E-2</v>
      </c>
      <c r="K138" s="40"/>
      <c r="L138" s="59" t="s">
        <v>12</v>
      </c>
      <c r="M138" s="51">
        <v>0.15467739145000001</v>
      </c>
    </row>
    <row r="139" spans="8:13" x14ac:dyDescent="0.3">
      <c r="H139" s="40"/>
      <c r="I139" s="59"/>
      <c r="J139" s="51">
        <v>6.8940000000000001E-2</v>
      </c>
      <c r="K139" s="40"/>
      <c r="L139" s="59"/>
      <c r="M139" s="51">
        <v>0.4854</v>
      </c>
    </row>
    <row r="140" spans="8:13" x14ac:dyDescent="0.3">
      <c r="H140" s="40"/>
      <c r="I140" s="59"/>
      <c r="J140" s="51">
        <v>3.7909999999999999E-2</v>
      </c>
      <c r="K140" s="40"/>
      <c r="L140" s="59"/>
      <c r="M140" s="51">
        <v>0.14782999999999999</v>
      </c>
    </row>
    <row r="141" spans="8:13" x14ac:dyDescent="0.3">
      <c r="H141" s="40"/>
      <c r="I141" s="59"/>
      <c r="J141" s="51">
        <v>7.19762695E-3</v>
      </c>
      <c r="K141" s="40"/>
      <c r="L141" s="59"/>
      <c r="M141" s="51">
        <v>5.2929999999999998E-2</v>
      </c>
    </row>
    <row r="142" spans="8:13" x14ac:dyDescent="0.3">
      <c r="H142" s="40">
        <v>13</v>
      </c>
      <c r="I142" s="59" t="s">
        <v>7</v>
      </c>
      <c r="J142" s="51">
        <v>0.21238000000000001</v>
      </c>
      <c r="K142" s="40">
        <v>37</v>
      </c>
      <c r="L142" s="59" t="s">
        <v>7</v>
      </c>
      <c r="M142" s="51">
        <v>3.2606299999999999</v>
      </c>
    </row>
    <row r="143" spans="8:13" x14ac:dyDescent="0.3">
      <c r="H143" s="40"/>
      <c r="I143" s="59"/>
      <c r="J143" s="51">
        <v>0.12179</v>
      </c>
      <c r="K143" s="40"/>
      <c r="L143" s="59"/>
      <c r="M143" s="51">
        <v>1.91998</v>
      </c>
    </row>
    <row r="144" spans="8:13" x14ac:dyDescent="0.3">
      <c r="H144" s="40"/>
      <c r="I144" s="59" t="s">
        <v>8</v>
      </c>
      <c r="J144" s="51">
        <v>0.14463000000000001</v>
      </c>
      <c r="K144" s="40"/>
      <c r="L144" s="59" t="s">
        <v>8</v>
      </c>
      <c r="M144" s="51">
        <v>2.2785199999999999</v>
      </c>
    </row>
    <row r="145" spans="8:13" x14ac:dyDescent="0.3">
      <c r="H145" s="40"/>
      <c r="I145" s="59"/>
      <c r="J145" s="51">
        <v>2.0060000000000001E-2</v>
      </c>
      <c r="K145" s="40"/>
      <c r="L145" s="59"/>
      <c r="M145" s="51">
        <v>0.35510999999999998</v>
      </c>
    </row>
    <row r="146" spans="8:13" x14ac:dyDescent="0.3">
      <c r="H146" s="40"/>
      <c r="I146" s="59"/>
      <c r="J146" s="51">
        <v>2.9700000000000001E-2</v>
      </c>
      <c r="K146" s="40"/>
      <c r="L146" s="59"/>
      <c r="M146" s="51">
        <v>0.46309</v>
      </c>
    </row>
    <row r="147" spans="8:13" x14ac:dyDescent="0.3">
      <c r="H147" s="40"/>
      <c r="I147" s="59" t="s">
        <v>9</v>
      </c>
      <c r="J147" s="51">
        <v>1.3939999999999999E-2</v>
      </c>
      <c r="K147" s="40"/>
      <c r="L147" s="59" t="s">
        <v>9</v>
      </c>
      <c r="M147" s="51">
        <v>3.0881510709999997E-2</v>
      </c>
    </row>
    <row r="148" spans="8:13" x14ac:dyDescent="0.3">
      <c r="H148" s="40"/>
      <c r="I148" s="59" t="s">
        <v>10</v>
      </c>
      <c r="J148" s="51">
        <v>0.47414744968</v>
      </c>
      <c r="K148" s="40"/>
      <c r="L148" s="59" t="s">
        <v>10</v>
      </c>
      <c r="M148" s="51">
        <v>6.2031200000000002</v>
      </c>
    </row>
    <row r="149" spans="8:13" x14ac:dyDescent="0.3">
      <c r="H149" s="40"/>
      <c r="I149" s="59" t="s">
        <v>11</v>
      </c>
      <c r="J149" s="51">
        <v>8.337E-2</v>
      </c>
      <c r="K149" s="40"/>
      <c r="L149" s="59" t="s">
        <v>11</v>
      </c>
      <c r="M149" s="51">
        <v>1.15089</v>
      </c>
    </row>
    <row r="150" spans="8:13" x14ac:dyDescent="0.3">
      <c r="H150" s="40"/>
      <c r="I150" s="59"/>
      <c r="J150" s="51">
        <v>5.178E-2</v>
      </c>
      <c r="K150" s="40"/>
      <c r="L150" s="59"/>
      <c r="M150" s="51">
        <v>0.66501999999999994</v>
      </c>
    </row>
    <row r="151" spans="8:13" x14ac:dyDescent="0.3">
      <c r="H151" s="40"/>
      <c r="I151" s="59"/>
      <c r="J151" s="51">
        <v>8.7249999999999994E-2</v>
      </c>
      <c r="K151" s="40"/>
      <c r="L151" s="59"/>
      <c r="M151" s="51">
        <v>1.1526799999999999</v>
      </c>
    </row>
    <row r="152" spans="8:13" x14ac:dyDescent="0.3">
      <c r="H152" s="40"/>
      <c r="I152" s="59" t="s">
        <v>12</v>
      </c>
      <c r="J152" s="51">
        <v>4.8430000000000001E-2</v>
      </c>
      <c r="K152" s="40"/>
      <c r="L152" s="59" t="s">
        <v>12</v>
      </c>
      <c r="M152" s="51">
        <v>0.58174577201</v>
      </c>
    </row>
    <row r="153" spans="8:13" x14ac:dyDescent="0.3">
      <c r="H153" s="40"/>
      <c r="I153" s="59"/>
      <c r="J153" s="51">
        <v>0.13305</v>
      </c>
      <c r="K153" s="40"/>
      <c r="L153" s="59"/>
      <c r="M153" s="51">
        <v>1.7882499999999999</v>
      </c>
    </row>
    <row r="154" spans="8:13" x14ac:dyDescent="0.3">
      <c r="H154" s="40"/>
      <c r="I154" s="59"/>
      <c r="J154" s="51">
        <v>6.2619999999999995E-2</v>
      </c>
      <c r="K154" s="40"/>
      <c r="L154" s="59"/>
      <c r="M154" s="51">
        <v>0.56976000000000004</v>
      </c>
    </row>
    <row r="155" spans="8:13" x14ac:dyDescent="0.3">
      <c r="H155" s="40"/>
      <c r="I155" s="59"/>
      <c r="J155" s="51">
        <v>1.439E-2</v>
      </c>
      <c r="K155" s="40"/>
      <c r="L155" s="59"/>
      <c r="M155" s="51">
        <v>0.19975999999999999</v>
      </c>
    </row>
    <row r="156" spans="8:13" x14ac:dyDescent="0.3">
      <c r="H156" s="40">
        <v>14</v>
      </c>
      <c r="I156" s="59" t="s">
        <v>7</v>
      </c>
      <c r="J156" s="51">
        <v>0.14998</v>
      </c>
      <c r="K156" s="40">
        <v>38</v>
      </c>
      <c r="L156" s="59" t="s">
        <v>7</v>
      </c>
      <c r="M156" s="51">
        <v>1.1753</v>
      </c>
    </row>
    <row r="157" spans="8:13" x14ac:dyDescent="0.3">
      <c r="H157" s="40"/>
      <c r="I157" s="59"/>
      <c r="J157" s="51">
        <v>8.7660000000000002E-2</v>
      </c>
      <c r="K157" s="40"/>
      <c r="L157" s="59"/>
      <c r="M157" s="51">
        <v>0.69269000000000003</v>
      </c>
    </row>
    <row r="158" spans="8:13" x14ac:dyDescent="0.3">
      <c r="H158" s="40"/>
      <c r="I158" s="59" t="s">
        <v>8</v>
      </c>
      <c r="J158" s="51">
        <v>0.10538</v>
      </c>
      <c r="K158" s="40"/>
      <c r="L158" s="59" t="s">
        <v>8</v>
      </c>
      <c r="M158" s="51">
        <v>0.81860999999999995</v>
      </c>
    </row>
    <row r="159" spans="8:13" x14ac:dyDescent="0.3">
      <c r="H159" s="40"/>
      <c r="I159" s="59"/>
      <c r="J159" s="51">
        <v>1.6660000000000001E-2</v>
      </c>
      <c r="K159" s="40"/>
      <c r="L159" s="59"/>
      <c r="M159" s="51">
        <v>0.23547000000000001</v>
      </c>
    </row>
    <row r="160" spans="8:13" x14ac:dyDescent="0.3">
      <c r="H160" s="40"/>
      <c r="I160" s="59"/>
      <c r="J160" s="51">
        <v>2.0570000000000001E-2</v>
      </c>
      <c r="K160" s="40"/>
      <c r="L160" s="59"/>
      <c r="M160" s="51">
        <v>0.17161999999999999</v>
      </c>
    </row>
    <row r="161" spans="8:13" x14ac:dyDescent="0.3">
      <c r="H161" s="40"/>
      <c r="I161" s="59" t="s">
        <v>9</v>
      </c>
      <c r="J161" s="51">
        <v>8.6172507000000006E-3</v>
      </c>
      <c r="K161" s="40"/>
      <c r="L161" s="59" t="s">
        <v>9</v>
      </c>
      <c r="M161" s="51">
        <v>4.2021510710000001E-2</v>
      </c>
    </row>
    <row r="162" spans="8:13" x14ac:dyDescent="0.3">
      <c r="H162" s="40"/>
      <c r="I162" s="59" t="s">
        <v>10</v>
      </c>
      <c r="J162" s="51">
        <v>0.32656744967999995</v>
      </c>
      <c r="K162" s="40"/>
      <c r="L162" s="59" t="s">
        <v>10</v>
      </c>
      <c r="M162" s="51">
        <v>2.5087999999999999</v>
      </c>
    </row>
    <row r="163" spans="8:13" x14ac:dyDescent="0.3">
      <c r="H163" s="40"/>
      <c r="I163" s="59" t="s">
        <v>11</v>
      </c>
      <c r="J163" s="51">
        <v>6.3729999999999995E-2</v>
      </c>
      <c r="K163" s="40"/>
      <c r="L163" s="59" t="s">
        <v>11</v>
      </c>
      <c r="M163" s="51">
        <v>0.47437000000000001</v>
      </c>
    </row>
    <row r="164" spans="8:13" x14ac:dyDescent="0.3">
      <c r="H164" s="40"/>
      <c r="I164" s="59"/>
      <c r="J164" s="51">
        <v>3.4470000000000001E-2</v>
      </c>
      <c r="K164" s="40"/>
      <c r="L164" s="59"/>
      <c r="M164" s="51">
        <v>0.27714</v>
      </c>
    </row>
    <row r="165" spans="8:13" x14ac:dyDescent="0.3">
      <c r="H165" s="40"/>
      <c r="I165" s="59"/>
      <c r="J165" s="51">
        <v>5.9709999999999999E-2</v>
      </c>
      <c r="K165" s="40"/>
      <c r="L165" s="59"/>
      <c r="M165" s="51">
        <v>0.48300999999999999</v>
      </c>
    </row>
    <row r="166" spans="8:13" x14ac:dyDescent="0.3">
      <c r="H166" s="40"/>
      <c r="I166" s="59" t="s">
        <v>12</v>
      </c>
      <c r="J166" s="51">
        <v>3.6650000000000002E-2</v>
      </c>
      <c r="K166" s="40"/>
      <c r="L166" s="59" t="s">
        <v>12</v>
      </c>
      <c r="M166" s="51">
        <v>0.23011577201000002</v>
      </c>
    </row>
    <row r="167" spans="8:13" x14ac:dyDescent="0.3">
      <c r="H167" s="40"/>
      <c r="I167" s="59"/>
      <c r="J167" s="51">
        <v>9.7339999999999996E-2</v>
      </c>
      <c r="K167" s="40"/>
      <c r="L167" s="59"/>
      <c r="M167" s="51">
        <v>0.71806999999999999</v>
      </c>
    </row>
    <row r="168" spans="8:13" x14ac:dyDescent="0.3">
      <c r="H168" s="40"/>
      <c r="I168" s="59"/>
      <c r="J168" s="51">
        <v>4.9770000000000002E-2</v>
      </c>
      <c r="K168" s="40"/>
      <c r="L168" s="59"/>
      <c r="M168" s="51">
        <v>0.23882999999999999</v>
      </c>
    </row>
    <row r="169" spans="8:13" x14ac:dyDescent="0.3">
      <c r="H169" s="40"/>
      <c r="I169" s="59"/>
      <c r="J169" s="51">
        <v>1.217E-2</v>
      </c>
      <c r="K169" s="40"/>
      <c r="L169" s="59"/>
      <c r="M169" s="51">
        <v>8.3799999999999999E-2</v>
      </c>
    </row>
    <row r="170" spans="8:13" x14ac:dyDescent="0.3">
      <c r="H170" s="40">
        <v>15</v>
      </c>
      <c r="I170" s="59" t="s">
        <v>7</v>
      </c>
      <c r="J170" s="51">
        <v>0.17501</v>
      </c>
      <c r="K170" s="40">
        <v>39</v>
      </c>
      <c r="L170" s="59" t="s">
        <v>7</v>
      </c>
      <c r="M170" s="51">
        <v>0.71184000000000003</v>
      </c>
    </row>
    <row r="171" spans="8:13" x14ac:dyDescent="0.3">
      <c r="H171" s="40"/>
      <c r="I171" s="59"/>
      <c r="J171" s="51">
        <v>0.10199</v>
      </c>
      <c r="K171" s="40"/>
      <c r="L171" s="59"/>
      <c r="M171" s="51">
        <v>0.41313</v>
      </c>
    </row>
    <row r="172" spans="8:13" x14ac:dyDescent="0.3">
      <c r="H172" s="40"/>
      <c r="I172" s="59" t="s">
        <v>8</v>
      </c>
      <c r="J172" s="51">
        <v>0.12770000000000001</v>
      </c>
      <c r="K172" s="40"/>
      <c r="L172" s="59" t="s">
        <v>8</v>
      </c>
      <c r="M172" s="51">
        <v>0.49719000000000002</v>
      </c>
    </row>
    <row r="173" spans="8:13" x14ac:dyDescent="0.3">
      <c r="H173" s="40"/>
      <c r="I173" s="59"/>
      <c r="J173" s="51">
        <v>1.7850000000000001E-2</v>
      </c>
      <c r="K173" s="40"/>
      <c r="L173" s="59"/>
      <c r="M173" s="51">
        <v>7.6560000000000003E-2</v>
      </c>
    </row>
    <row r="174" spans="8:13" x14ac:dyDescent="0.3">
      <c r="H174" s="40"/>
      <c r="I174" s="59"/>
      <c r="J174" s="51">
        <v>2.4680000000000001E-2</v>
      </c>
      <c r="K174" s="40"/>
      <c r="L174" s="59"/>
      <c r="M174" s="51">
        <v>9.3439999999999995E-2</v>
      </c>
    </row>
    <row r="175" spans="8:13" x14ac:dyDescent="0.3">
      <c r="H175" s="40"/>
      <c r="I175" s="59" t="s">
        <v>9</v>
      </c>
      <c r="J175" s="51">
        <v>3.1482319700000001E-3</v>
      </c>
      <c r="K175" s="40"/>
      <c r="L175" s="59" t="s">
        <v>9</v>
      </c>
      <c r="M175" s="51">
        <v>2.7341510709999996E-2</v>
      </c>
    </row>
    <row r="176" spans="8:13" x14ac:dyDescent="0.3">
      <c r="H176" s="40"/>
      <c r="I176" s="59" t="s">
        <v>10</v>
      </c>
      <c r="J176" s="51">
        <v>0.42132744967999997</v>
      </c>
      <c r="K176" s="40"/>
      <c r="L176" s="59" t="s">
        <v>10</v>
      </c>
      <c r="M176" s="51">
        <v>2.4985200000000001</v>
      </c>
    </row>
    <row r="177" spans="8:13" x14ac:dyDescent="0.3">
      <c r="H177" s="40"/>
      <c r="I177" s="59" t="s">
        <v>11</v>
      </c>
      <c r="J177" s="51">
        <v>9.2730000000000007E-2</v>
      </c>
      <c r="K177" s="40"/>
      <c r="L177" s="59" t="s">
        <v>11</v>
      </c>
      <c r="M177" s="51">
        <v>0.41253000000000001</v>
      </c>
    </row>
    <row r="178" spans="8:13" x14ac:dyDescent="0.3">
      <c r="H178" s="40"/>
      <c r="I178" s="59"/>
      <c r="J178" s="51">
        <v>3.5680000000000003E-2</v>
      </c>
      <c r="K178" s="40"/>
      <c r="L178" s="59"/>
      <c r="M178" s="51">
        <v>0.23554</v>
      </c>
    </row>
    <row r="179" spans="8:13" x14ac:dyDescent="0.3">
      <c r="H179" s="40"/>
      <c r="I179" s="59"/>
      <c r="J179" s="51">
        <v>8.7179999999999994E-2</v>
      </c>
      <c r="K179" s="40"/>
      <c r="L179" s="59"/>
      <c r="M179" s="51">
        <v>0.42020999999999997</v>
      </c>
    </row>
    <row r="180" spans="8:13" x14ac:dyDescent="0.3">
      <c r="H180" s="40"/>
      <c r="I180" s="59" t="s">
        <v>12</v>
      </c>
      <c r="J180" s="51">
        <v>4.9189999999999998E-2</v>
      </c>
      <c r="K180" s="40"/>
      <c r="L180" s="59" t="s">
        <v>12</v>
      </c>
      <c r="M180" s="51">
        <v>0.19769577201000002</v>
      </c>
    </row>
    <row r="181" spans="8:13" x14ac:dyDescent="0.3">
      <c r="H181" s="40"/>
      <c r="I181" s="59"/>
      <c r="J181" s="51">
        <v>0.14252999999999999</v>
      </c>
      <c r="K181" s="40"/>
      <c r="L181" s="59"/>
      <c r="M181" s="51">
        <v>0.64509000000000005</v>
      </c>
    </row>
    <row r="182" spans="8:13" x14ac:dyDescent="0.3">
      <c r="H182" s="40"/>
      <c r="I182" s="59"/>
      <c r="J182" s="51">
        <v>6.3490000000000005E-2</v>
      </c>
      <c r="K182" s="40"/>
      <c r="L182" s="59"/>
      <c r="M182" s="51">
        <v>0.21481</v>
      </c>
    </row>
    <row r="183" spans="8:13" x14ac:dyDescent="0.3">
      <c r="H183" s="40"/>
      <c r="I183" s="59"/>
      <c r="J183" s="51">
        <v>1.5859999999999999E-2</v>
      </c>
      <c r="K183" s="40"/>
      <c r="L183" s="59"/>
      <c r="M183" s="51">
        <v>7.0809999999999998E-2</v>
      </c>
    </row>
    <row r="184" spans="8:13" x14ac:dyDescent="0.3">
      <c r="H184" s="40">
        <v>16</v>
      </c>
      <c r="I184" s="59" t="s">
        <v>7</v>
      </c>
      <c r="J184" s="51">
        <v>8.6530107640000006E-2</v>
      </c>
      <c r="K184" s="40">
        <v>40</v>
      </c>
      <c r="L184" s="59" t="s">
        <v>7</v>
      </c>
      <c r="M184" s="51">
        <v>0.39842</v>
      </c>
    </row>
    <row r="185" spans="8:13" x14ac:dyDescent="0.3">
      <c r="H185" s="40"/>
      <c r="I185" s="59"/>
      <c r="J185" s="51">
        <v>5.5109999999999999E-2</v>
      </c>
      <c r="K185" s="40"/>
      <c r="L185" s="59"/>
      <c r="M185" s="51">
        <v>0.2392</v>
      </c>
    </row>
    <row r="186" spans="8:13" x14ac:dyDescent="0.3">
      <c r="H186" s="40"/>
      <c r="I186" s="59" t="s">
        <v>8</v>
      </c>
      <c r="J186" s="51">
        <v>6.132E-2</v>
      </c>
      <c r="K186" s="40"/>
      <c r="L186" s="59" t="s">
        <v>8</v>
      </c>
      <c r="M186" s="51">
        <v>0.27850000000000003</v>
      </c>
    </row>
    <row r="187" spans="8:13" x14ac:dyDescent="0.3">
      <c r="H187" s="40"/>
      <c r="I187" s="59"/>
      <c r="J187" s="51">
        <v>1.055E-2</v>
      </c>
      <c r="K187" s="40"/>
      <c r="L187" s="59"/>
      <c r="M187" s="51">
        <v>3.9669999999999997E-2</v>
      </c>
    </row>
    <row r="188" spans="8:13" x14ac:dyDescent="0.3">
      <c r="H188" s="40"/>
      <c r="I188" s="59"/>
      <c r="J188" s="51">
        <v>1.2200000000000001E-2</v>
      </c>
      <c r="K188" s="40"/>
      <c r="L188" s="59"/>
      <c r="M188" s="51">
        <v>5.3719999999999997E-2</v>
      </c>
    </row>
    <row r="189" spans="8:13" x14ac:dyDescent="0.3">
      <c r="H189" s="40"/>
      <c r="I189" s="59" t="s">
        <v>9</v>
      </c>
      <c r="J189" s="51">
        <v>1.2982943499999997E-3</v>
      </c>
      <c r="K189" s="40"/>
      <c r="L189" s="59" t="s">
        <v>9</v>
      </c>
      <c r="M189" s="51">
        <v>2.5183169419999998E-2</v>
      </c>
    </row>
    <row r="190" spans="8:13" x14ac:dyDescent="0.3">
      <c r="H190" s="40"/>
      <c r="I190" s="59" t="s">
        <v>10</v>
      </c>
      <c r="J190" s="51">
        <v>0.17946000000000001</v>
      </c>
      <c r="K190" s="40"/>
      <c r="L190" s="59" t="s">
        <v>10</v>
      </c>
      <c r="M190" s="51">
        <v>1.1232800000000001</v>
      </c>
    </row>
    <row r="191" spans="8:13" x14ac:dyDescent="0.3">
      <c r="H191" s="40"/>
      <c r="I191" s="59" t="s">
        <v>11</v>
      </c>
      <c r="J191" s="51">
        <v>3.3410000000000002E-2</v>
      </c>
      <c r="K191" s="40"/>
      <c r="L191" s="59" t="s">
        <v>11</v>
      </c>
      <c r="M191" s="51">
        <v>0.23102</v>
      </c>
    </row>
    <row r="192" spans="8:13" x14ac:dyDescent="0.3">
      <c r="H192" s="40"/>
      <c r="I192" s="59"/>
      <c r="J192" s="51">
        <v>1.3520000000000001E-2</v>
      </c>
      <c r="K192" s="40"/>
      <c r="L192" s="59"/>
      <c r="M192" s="51">
        <v>0.13419</v>
      </c>
    </row>
    <row r="193" spans="8:13" x14ac:dyDescent="0.3">
      <c r="H193" s="40"/>
      <c r="I193" s="59"/>
      <c r="J193" s="51">
        <v>2.9590000000000002E-2</v>
      </c>
      <c r="K193" s="40"/>
      <c r="L193" s="59"/>
      <c r="M193" s="51">
        <v>0.24865000000000001</v>
      </c>
    </row>
    <row r="194" spans="8:13" x14ac:dyDescent="0.3">
      <c r="H194" s="40"/>
      <c r="I194" s="59" t="s">
        <v>12</v>
      </c>
      <c r="J194" s="51">
        <v>0</v>
      </c>
      <c r="K194" s="40"/>
      <c r="L194" s="59" t="s">
        <v>12</v>
      </c>
      <c r="M194" s="51">
        <v>0.11080266558</v>
      </c>
    </row>
    <row r="195" spans="8:13" x14ac:dyDescent="0.3">
      <c r="H195" s="40"/>
      <c r="I195" s="59"/>
      <c r="J195" s="51">
        <v>5.364E-2</v>
      </c>
      <c r="K195" s="40"/>
      <c r="L195" s="59"/>
      <c r="M195" s="51">
        <v>0.36353000000000002</v>
      </c>
    </row>
    <row r="196" spans="8:13" x14ac:dyDescent="0.3">
      <c r="H196" s="40"/>
      <c r="I196" s="59"/>
      <c r="J196" s="51">
        <v>3.406E-2</v>
      </c>
      <c r="K196" s="40"/>
      <c r="L196" s="59"/>
      <c r="M196" s="51">
        <v>0.10488000000000001</v>
      </c>
    </row>
    <row r="197" spans="8:13" x14ac:dyDescent="0.3">
      <c r="H197" s="40"/>
      <c r="I197" s="59"/>
      <c r="J197" s="51">
        <v>4.8646067899999999E-3</v>
      </c>
      <c r="K197" s="40"/>
      <c r="L197" s="59"/>
      <c r="M197" s="51">
        <v>4.0570000000000002E-2</v>
      </c>
    </row>
    <row r="198" spans="8:13" x14ac:dyDescent="0.3">
      <c r="H198" s="40">
        <v>18</v>
      </c>
      <c r="I198" s="59" t="s">
        <v>7</v>
      </c>
      <c r="J198" s="51">
        <v>0.14799010764000001</v>
      </c>
      <c r="K198" s="40">
        <v>42</v>
      </c>
      <c r="L198" s="59" t="s">
        <v>7</v>
      </c>
      <c r="M198" s="51">
        <v>2.1950000000000001E-2</v>
      </c>
    </row>
    <row r="199" spans="8:13" x14ac:dyDescent="0.3">
      <c r="H199" s="40"/>
      <c r="I199" s="59"/>
      <c r="J199" s="51">
        <v>8.2780000000000006E-2</v>
      </c>
      <c r="K199" s="40"/>
      <c r="L199" s="59"/>
      <c r="M199" s="51">
        <v>1.49E-2</v>
      </c>
    </row>
    <row r="200" spans="8:13" x14ac:dyDescent="0.3">
      <c r="H200" s="40"/>
      <c r="I200" s="59" t="s">
        <v>8</v>
      </c>
      <c r="J200" s="51">
        <v>0.10206</v>
      </c>
      <c r="K200" s="40"/>
      <c r="L200" s="59" t="s">
        <v>8</v>
      </c>
      <c r="M200" s="51">
        <v>1.7829999999999999E-2</v>
      </c>
    </row>
    <row r="201" spans="8:13" x14ac:dyDescent="0.3">
      <c r="H201" s="40"/>
      <c r="I201" s="59"/>
      <c r="J201" s="51">
        <v>1.636E-2</v>
      </c>
      <c r="K201" s="40"/>
      <c r="L201" s="59"/>
      <c r="M201" s="51">
        <v>1.90830605E-3</v>
      </c>
    </row>
    <row r="202" spans="8:13" x14ac:dyDescent="0.3">
      <c r="H202" s="40"/>
      <c r="I202" s="59"/>
      <c r="J202" s="51">
        <v>2.0889999999999999E-2</v>
      </c>
      <c r="K202" s="40"/>
      <c r="L202" s="59"/>
      <c r="M202" s="51">
        <v>2.58269194E-3</v>
      </c>
    </row>
    <row r="203" spans="8:13" x14ac:dyDescent="0.3">
      <c r="H203" s="40"/>
      <c r="I203" s="59" t="s">
        <v>9</v>
      </c>
      <c r="J203" s="51">
        <v>1.5944324020000001E-2</v>
      </c>
      <c r="K203" s="40"/>
      <c r="L203" s="59" t="s">
        <v>9</v>
      </c>
      <c r="M203" s="51">
        <v>2.0517462200000001E-3</v>
      </c>
    </row>
    <row r="204" spans="8:13" x14ac:dyDescent="0.3">
      <c r="H204" s="40"/>
      <c r="I204" s="59" t="s">
        <v>10</v>
      </c>
      <c r="J204" s="51">
        <v>0.47765999999999997</v>
      </c>
      <c r="K204" s="40"/>
      <c r="L204" s="59" t="s">
        <v>10</v>
      </c>
      <c r="M204" s="51">
        <v>4.648E-2</v>
      </c>
    </row>
    <row r="205" spans="8:13" x14ac:dyDescent="0.3">
      <c r="H205" s="40"/>
      <c r="I205" s="59" t="s">
        <v>11</v>
      </c>
      <c r="J205" s="51">
        <v>8.5730000000000001E-2</v>
      </c>
      <c r="K205" s="40"/>
      <c r="L205" s="59" t="s">
        <v>11</v>
      </c>
      <c r="M205" s="51">
        <v>9.8420512999999998E-3</v>
      </c>
    </row>
    <row r="206" spans="8:13" x14ac:dyDescent="0.3">
      <c r="H206" s="40"/>
      <c r="I206" s="59"/>
      <c r="J206" s="51">
        <v>4.7320000000000001E-2</v>
      </c>
      <c r="K206" s="40"/>
      <c r="L206" s="59"/>
      <c r="M206" s="51">
        <v>4.9681381299999999E-3</v>
      </c>
    </row>
    <row r="207" spans="8:13" x14ac:dyDescent="0.3">
      <c r="H207" s="40"/>
      <c r="I207" s="59"/>
      <c r="J207" s="51">
        <v>8.1869999999999998E-2</v>
      </c>
      <c r="K207" s="40"/>
      <c r="L207" s="59"/>
      <c r="M207" s="51">
        <v>8.3709786200000004E-3</v>
      </c>
    </row>
    <row r="208" spans="8:13" x14ac:dyDescent="0.3">
      <c r="H208" s="40"/>
      <c r="I208" s="59" t="s">
        <v>12</v>
      </c>
      <c r="J208" s="51">
        <v>0</v>
      </c>
      <c r="K208" s="40"/>
      <c r="L208" s="59" t="s">
        <v>12</v>
      </c>
      <c r="M208" s="51">
        <v>4.4760049200000002E-3</v>
      </c>
    </row>
    <row r="209" spans="8:13" x14ac:dyDescent="0.3">
      <c r="H209" s="40"/>
      <c r="I209" s="59"/>
      <c r="J209" s="51">
        <v>0.13012000000000001</v>
      </c>
      <c r="K209" s="40"/>
      <c r="L209" s="59"/>
      <c r="M209" s="51">
        <v>1.584E-2</v>
      </c>
    </row>
    <row r="210" spans="8:13" x14ac:dyDescent="0.3">
      <c r="H210" s="40"/>
      <c r="I210" s="59"/>
      <c r="J210" s="51">
        <v>6.0999999999999999E-2</v>
      </c>
      <c r="K210" s="40"/>
      <c r="L210" s="59"/>
      <c r="M210" s="51">
        <v>4.5800000000000007E-3</v>
      </c>
    </row>
    <row r="211" spans="8:13" x14ac:dyDescent="0.3">
      <c r="H211" s="40"/>
      <c r="I211" s="59"/>
      <c r="J211" s="51">
        <v>1.3809999999999999E-2</v>
      </c>
      <c r="K211" s="40"/>
      <c r="L211" s="59"/>
      <c r="M211" s="51">
        <v>0</v>
      </c>
    </row>
    <row r="212" spans="8:13" x14ac:dyDescent="0.3">
      <c r="H212" s="40">
        <v>19</v>
      </c>
      <c r="I212" s="59" t="s">
        <v>7</v>
      </c>
      <c r="J212" s="51">
        <v>0.28172999999999998</v>
      </c>
      <c r="K212" s="40">
        <v>43</v>
      </c>
      <c r="L212" s="59" t="s">
        <v>7</v>
      </c>
      <c r="M212" s="51">
        <v>5.1819999999999998E-2</v>
      </c>
    </row>
    <row r="213" spans="8:13" x14ac:dyDescent="0.3">
      <c r="H213" s="40"/>
      <c r="I213" s="59"/>
      <c r="J213" s="51">
        <v>0.16786999999999999</v>
      </c>
      <c r="K213" s="40"/>
      <c r="L213" s="59"/>
      <c r="M213" s="51">
        <v>3.3239999999999999E-2</v>
      </c>
    </row>
    <row r="214" spans="8:13" x14ac:dyDescent="0.3">
      <c r="H214" s="40"/>
      <c r="I214" s="59" t="s">
        <v>8</v>
      </c>
      <c r="J214" s="51">
        <v>0.19653000000000001</v>
      </c>
      <c r="K214" s="40"/>
      <c r="L214" s="59" t="s">
        <v>8</v>
      </c>
      <c r="M214" s="51">
        <v>3.7260000000000001E-2</v>
      </c>
    </row>
    <row r="215" spans="8:13" x14ac:dyDescent="0.3">
      <c r="H215" s="40"/>
      <c r="I215" s="59"/>
      <c r="J215" s="51">
        <v>0</v>
      </c>
      <c r="K215" s="40"/>
      <c r="L215" s="59"/>
      <c r="M215" s="51">
        <v>5.4487603799999998E-3</v>
      </c>
    </row>
    <row r="216" spans="8:13" x14ac:dyDescent="0.3">
      <c r="H216" s="40"/>
      <c r="I216" s="59"/>
      <c r="J216" s="51">
        <v>3.9010000000000003E-2</v>
      </c>
      <c r="K216" s="40"/>
      <c r="L216" s="59"/>
      <c r="M216" s="51">
        <v>3.5154031400000002E-3</v>
      </c>
    </row>
    <row r="217" spans="8:13" x14ac:dyDescent="0.3">
      <c r="H217" s="40"/>
      <c r="I217" s="59" t="s">
        <v>9</v>
      </c>
      <c r="J217" s="51">
        <v>1.0539359050000001E-2</v>
      </c>
      <c r="K217" s="40"/>
      <c r="L217" s="59" t="s">
        <v>9</v>
      </c>
      <c r="M217" s="51">
        <v>5.6031694199999999E-3</v>
      </c>
    </row>
    <row r="218" spans="8:13" x14ac:dyDescent="0.3">
      <c r="H218" s="40"/>
      <c r="I218" s="59" t="s">
        <v>10</v>
      </c>
      <c r="J218" s="51">
        <v>1.05124</v>
      </c>
      <c r="K218" s="40"/>
      <c r="L218" s="59" t="s">
        <v>10</v>
      </c>
      <c r="M218" s="51">
        <v>0.11065999999999999</v>
      </c>
    </row>
    <row r="219" spans="8:13" x14ac:dyDescent="0.3">
      <c r="H219" s="40"/>
      <c r="I219" s="59" t="s">
        <v>11</v>
      </c>
      <c r="J219" s="51">
        <v>0.18976999999999999</v>
      </c>
      <c r="K219" s="40"/>
      <c r="L219" s="59" t="s">
        <v>11</v>
      </c>
      <c r="M219" s="51">
        <v>2.444E-2</v>
      </c>
    </row>
    <row r="220" spans="8:13" x14ac:dyDescent="0.3">
      <c r="H220" s="40"/>
      <c r="I220" s="59"/>
      <c r="J220" s="51">
        <v>0.11061</v>
      </c>
      <c r="K220" s="40"/>
      <c r="L220" s="59"/>
      <c r="M220" s="51">
        <v>1.354E-2</v>
      </c>
    </row>
    <row r="221" spans="8:13" x14ac:dyDescent="0.3">
      <c r="H221" s="40"/>
      <c r="I221" s="59"/>
      <c r="J221" s="51">
        <v>0.18970000000000001</v>
      </c>
      <c r="K221" s="40"/>
      <c r="L221" s="59"/>
      <c r="M221" s="51">
        <v>2.2110000000000001E-2</v>
      </c>
    </row>
    <row r="222" spans="8:13" x14ac:dyDescent="0.3">
      <c r="H222" s="40"/>
      <c r="I222" s="59" t="s">
        <v>12</v>
      </c>
      <c r="J222" s="51">
        <v>0</v>
      </c>
      <c r="K222" s="40"/>
      <c r="L222" s="59" t="s">
        <v>12</v>
      </c>
      <c r="M222" s="51">
        <v>1.6449411399999999E-3</v>
      </c>
    </row>
    <row r="223" spans="8:13" x14ac:dyDescent="0.3">
      <c r="H223" s="40"/>
      <c r="I223" s="59"/>
      <c r="J223" s="51">
        <v>0.29579</v>
      </c>
      <c r="K223" s="40"/>
      <c r="L223" s="59"/>
      <c r="M223" s="51">
        <v>3.5700000000000003E-2</v>
      </c>
    </row>
    <row r="224" spans="8:13" x14ac:dyDescent="0.3">
      <c r="H224" s="40"/>
      <c r="I224" s="59"/>
      <c r="J224" s="51">
        <v>0.11395</v>
      </c>
      <c r="K224" s="40"/>
      <c r="L224" s="59"/>
      <c r="M224" s="51">
        <v>6.859999999999998E-3</v>
      </c>
    </row>
    <row r="225" spans="8:13" x14ac:dyDescent="0.3">
      <c r="H225" s="40"/>
      <c r="I225" s="59"/>
      <c r="J225" s="51">
        <v>3.1309999999999998E-2</v>
      </c>
      <c r="K225" s="40"/>
      <c r="L225" s="59"/>
      <c r="M225" s="51">
        <v>0</v>
      </c>
    </row>
    <row r="226" spans="8:13" x14ac:dyDescent="0.3">
      <c r="H226" s="40">
        <v>20</v>
      </c>
      <c r="I226" s="59" t="s">
        <v>7</v>
      </c>
      <c r="J226" s="51">
        <v>0.13000999999999999</v>
      </c>
      <c r="K226" s="40">
        <v>44</v>
      </c>
      <c r="L226" s="59" t="s">
        <v>7</v>
      </c>
      <c r="M226" s="51">
        <v>6.285330452E-2</v>
      </c>
    </row>
    <row r="227" spans="8:13" x14ac:dyDescent="0.3">
      <c r="H227" s="40"/>
      <c r="I227" s="59"/>
      <c r="J227" s="51">
        <v>7.9460000000000003E-2</v>
      </c>
      <c r="K227" s="40"/>
      <c r="L227" s="59"/>
      <c r="M227" s="51">
        <v>3.9550000000000002E-2</v>
      </c>
    </row>
    <row r="228" spans="8:13" x14ac:dyDescent="0.3">
      <c r="H228" s="40"/>
      <c r="I228" s="59" t="s">
        <v>8</v>
      </c>
      <c r="J228" s="51">
        <v>9.3380000000000005E-2</v>
      </c>
      <c r="K228" s="40"/>
      <c r="L228" s="59" t="s">
        <v>8</v>
      </c>
      <c r="M228" s="51">
        <v>4.7309999999999998E-2</v>
      </c>
    </row>
    <row r="229" spans="8:13" x14ac:dyDescent="0.3">
      <c r="H229" s="40"/>
      <c r="I229" s="59"/>
      <c r="J229" s="51">
        <v>1.4749999999999999E-2</v>
      </c>
      <c r="K229" s="40"/>
      <c r="L229" s="59"/>
      <c r="M229" s="51">
        <v>2.28049099E-3</v>
      </c>
    </row>
    <row r="230" spans="8:13" x14ac:dyDescent="0.3">
      <c r="H230" s="40"/>
      <c r="I230" s="59"/>
      <c r="J230" s="51">
        <v>1.721E-2</v>
      </c>
      <c r="K230" s="40"/>
      <c r="L230" s="59"/>
      <c r="M230" s="51">
        <v>8.3386475899999996E-3</v>
      </c>
    </row>
    <row r="231" spans="8:13" x14ac:dyDescent="0.3">
      <c r="H231" s="40"/>
      <c r="I231" s="59" t="s">
        <v>9</v>
      </c>
      <c r="J231" s="51">
        <v>3.5312718899999998E-3</v>
      </c>
      <c r="K231" s="40"/>
      <c r="L231" s="59" t="s">
        <v>9</v>
      </c>
      <c r="M231" s="51">
        <v>1.247668092E-2</v>
      </c>
    </row>
    <row r="232" spans="8:13" x14ac:dyDescent="0.3">
      <c r="H232" s="40"/>
      <c r="I232" s="59" t="s">
        <v>10</v>
      </c>
      <c r="J232" s="51">
        <v>0.42687000000000003</v>
      </c>
      <c r="K232" s="40"/>
      <c r="L232" s="59" t="s">
        <v>10</v>
      </c>
      <c r="M232" s="51">
        <v>0.15415663753</v>
      </c>
    </row>
    <row r="233" spans="8:13" x14ac:dyDescent="0.3">
      <c r="H233" s="40"/>
      <c r="I233" s="59" t="s">
        <v>11</v>
      </c>
      <c r="J233" s="51">
        <v>7.5020000000000003E-2</v>
      </c>
      <c r="K233" s="40"/>
      <c r="L233" s="59" t="s">
        <v>11</v>
      </c>
      <c r="M233" s="51">
        <v>3.3009999999999998E-2</v>
      </c>
    </row>
    <row r="234" spans="8:13" x14ac:dyDescent="0.3">
      <c r="H234" s="40"/>
      <c r="I234" s="59"/>
      <c r="J234" s="51">
        <v>4.367E-2</v>
      </c>
      <c r="K234" s="40"/>
      <c r="L234" s="59"/>
      <c r="M234" s="51">
        <v>1.6459999999999999E-2</v>
      </c>
    </row>
    <row r="235" spans="8:13" x14ac:dyDescent="0.3">
      <c r="H235" s="40"/>
      <c r="I235" s="59"/>
      <c r="J235" s="51">
        <v>7.6660000000000006E-2</v>
      </c>
      <c r="K235" s="40"/>
      <c r="L235" s="59"/>
      <c r="M235" s="51">
        <v>3.526E-2</v>
      </c>
    </row>
    <row r="236" spans="8:13" x14ac:dyDescent="0.3">
      <c r="H236" s="40"/>
      <c r="I236" s="59" t="s">
        <v>12</v>
      </c>
      <c r="J236" s="51">
        <v>4.3700000000000003E-2</v>
      </c>
      <c r="K236" s="40"/>
      <c r="L236" s="59" t="s">
        <v>12</v>
      </c>
      <c r="M236" s="51">
        <v>1.9396143100000006E-3</v>
      </c>
    </row>
    <row r="237" spans="8:13" x14ac:dyDescent="0.3">
      <c r="H237" s="40"/>
      <c r="I237" s="59"/>
      <c r="J237" s="51">
        <v>0.11695</v>
      </c>
      <c r="K237" s="40"/>
      <c r="L237" s="59"/>
      <c r="M237" s="51">
        <v>5.3900000000000003E-2</v>
      </c>
    </row>
    <row r="238" spans="8:13" x14ac:dyDescent="0.3">
      <c r="H238" s="40"/>
      <c r="I238" s="59"/>
      <c r="J238" s="51">
        <v>5.9040000000000002E-2</v>
      </c>
      <c r="K238" s="40"/>
      <c r="L238" s="59"/>
      <c r="M238" s="51">
        <v>1.3269999999999997E-2</v>
      </c>
    </row>
    <row r="239" spans="8:13" x14ac:dyDescent="0.3">
      <c r="H239" s="40"/>
      <c r="I239" s="59"/>
      <c r="J239" s="51">
        <v>1.2710000000000001E-2</v>
      </c>
      <c r="K239" s="40"/>
      <c r="L239" s="59"/>
      <c r="M239" s="51">
        <v>5.7516875299999997E-3</v>
      </c>
    </row>
    <row r="240" spans="8:13" x14ac:dyDescent="0.3">
      <c r="H240" s="40">
        <v>21</v>
      </c>
      <c r="I240" s="59" t="s">
        <v>7</v>
      </c>
      <c r="J240" s="51">
        <v>2.6600100000000002</v>
      </c>
      <c r="K240" s="40">
        <v>45</v>
      </c>
      <c r="L240" s="59" t="s">
        <v>7</v>
      </c>
      <c r="M240" s="51">
        <v>0.33062330451999999</v>
      </c>
    </row>
    <row r="241" spans="8:13" x14ac:dyDescent="0.3">
      <c r="H241" s="40"/>
      <c r="I241" s="59"/>
      <c r="J241" s="51">
        <v>1.56043</v>
      </c>
      <c r="K241" s="40"/>
      <c r="L241" s="59"/>
      <c r="M241" s="51">
        <v>0.19383</v>
      </c>
    </row>
    <row r="242" spans="8:13" x14ac:dyDescent="0.3">
      <c r="H242" s="40"/>
      <c r="I242" s="59" t="s">
        <v>8</v>
      </c>
      <c r="J242" s="51">
        <v>1.9222699999999999</v>
      </c>
      <c r="K242" s="40"/>
      <c r="L242" s="59" t="s">
        <v>8</v>
      </c>
      <c r="M242" s="51">
        <v>0.22724</v>
      </c>
    </row>
    <row r="243" spans="8:13" x14ac:dyDescent="0.3">
      <c r="H243" s="40"/>
      <c r="I243" s="59"/>
      <c r="J243" s="51">
        <v>0.30471999999999999</v>
      </c>
      <c r="K243" s="40"/>
      <c r="L243" s="59"/>
      <c r="M243" s="51">
        <v>3.4360000000000002E-2</v>
      </c>
    </row>
    <row r="244" spans="8:13" x14ac:dyDescent="0.3">
      <c r="H244" s="40"/>
      <c r="I244" s="59"/>
      <c r="J244" s="51">
        <v>0.39689000000000002</v>
      </c>
      <c r="K244" s="40"/>
      <c r="L244" s="59"/>
      <c r="M244" s="51">
        <v>4.5760000000000002E-2</v>
      </c>
    </row>
    <row r="245" spans="8:13" x14ac:dyDescent="0.3">
      <c r="H245" s="40"/>
      <c r="I245" s="59" t="s">
        <v>9</v>
      </c>
      <c r="J245" s="51">
        <v>3.4649359050000002E-2</v>
      </c>
      <c r="K245" s="40"/>
      <c r="L245" s="59" t="s">
        <v>9</v>
      </c>
      <c r="M245" s="51">
        <v>3.3366680920000003E-2</v>
      </c>
    </row>
    <row r="246" spans="8:13" x14ac:dyDescent="0.3">
      <c r="H246" s="40"/>
      <c r="I246" s="59" t="s">
        <v>10</v>
      </c>
      <c r="J246" s="51">
        <v>7.4075899999999999</v>
      </c>
      <c r="K246" s="40"/>
      <c r="L246" s="59" t="s">
        <v>10</v>
      </c>
      <c r="M246" s="51">
        <v>0.89167663753000004</v>
      </c>
    </row>
    <row r="247" spans="8:13" x14ac:dyDescent="0.3">
      <c r="H247" s="40"/>
      <c r="I247" s="59" t="s">
        <v>11</v>
      </c>
      <c r="J247" s="51">
        <v>1.75589</v>
      </c>
      <c r="K247" s="40"/>
      <c r="L247" s="59" t="s">
        <v>11</v>
      </c>
      <c r="M247" s="51">
        <v>0.16536000000000001</v>
      </c>
    </row>
    <row r="248" spans="8:13" x14ac:dyDescent="0.3">
      <c r="H248" s="40"/>
      <c r="I248" s="59"/>
      <c r="J248" s="51">
        <v>1.00444</v>
      </c>
      <c r="K248" s="40"/>
      <c r="L248" s="59"/>
      <c r="M248" s="51">
        <v>9.7619999999999998E-2</v>
      </c>
    </row>
    <row r="249" spans="8:13" x14ac:dyDescent="0.3">
      <c r="H249" s="40"/>
      <c r="I249" s="59"/>
      <c r="J249" s="51">
        <v>1.7119899999999999</v>
      </c>
      <c r="K249" s="40"/>
      <c r="L249" s="59"/>
      <c r="M249" s="51">
        <v>0.16536000000000001</v>
      </c>
    </row>
    <row r="250" spans="8:13" x14ac:dyDescent="0.3">
      <c r="H250" s="40"/>
      <c r="I250" s="59" t="s">
        <v>12</v>
      </c>
      <c r="J250" s="51">
        <v>0.89807000000000003</v>
      </c>
      <c r="K250" s="40"/>
      <c r="L250" s="59" t="s">
        <v>12</v>
      </c>
      <c r="M250" s="51">
        <v>8.0740259110000004E-2</v>
      </c>
    </row>
    <row r="251" spans="8:13" x14ac:dyDescent="0.3">
      <c r="H251" s="40"/>
      <c r="I251" s="59"/>
      <c r="J251" s="51">
        <v>2.6323400000000001</v>
      </c>
      <c r="K251" s="40"/>
      <c r="L251" s="59"/>
      <c r="M251" s="51">
        <v>0.25302999999999998</v>
      </c>
    </row>
    <row r="252" spans="8:13" x14ac:dyDescent="0.3">
      <c r="H252" s="40"/>
      <c r="I252" s="59"/>
      <c r="J252" s="51">
        <v>0.85465000000000002</v>
      </c>
      <c r="K252" s="40"/>
      <c r="L252" s="59"/>
      <c r="M252" s="51">
        <v>7.3410000000000003E-2</v>
      </c>
    </row>
    <row r="253" spans="8:13" x14ac:dyDescent="0.3">
      <c r="H253" s="40"/>
      <c r="I253" s="59"/>
      <c r="J253" s="51">
        <v>0.30096000000000001</v>
      </c>
      <c r="K253" s="40"/>
      <c r="L253" s="59"/>
      <c r="M253" s="51">
        <v>2.9049999999999999E-2</v>
      </c>
    </row>
    <row r="254" spans="8:13" x14ac:dyDescent="0.3">
      <c r="H254" s="40">
        <v>22</v>
      </c>
      <c r="I254" s="59" t="s">
        <v>7</v>
      </c>
      <c r="J254" s="51">
        <v>3.18684610711</v>
      </c>
      <c r="K254" s="40">
        <v>46</v>
      </c>
      <c r="L254" s="59" t="s">
        <v>7</v>
      </c>
      <c r="M254" s="51">
        <v>0.12911330452</v>
      </c>
    </row>
    <row r="255" spans="8:13" x14ac:dyDescent="0.3">
      <c r="H255" s="40"/>
      <c r="I255" s="59"/>
      <c r="J255" s="51">
        <v>1.8618699999999999</v>
      </c>
      <c r="K255" s="40"/>
      <c r="L255" s="59"/>
      <c r="M255" s="51">
        <v>7.8189999999999996E-2</v>
      </c>
    </row>
    <row r="256" spans="8:13" x14ac:dyDescent="0.3">
      <c r="H256" s="40"/>
      <c r="I256" s="59" t="s">
        <v>8</v>
      </c>
      <c r="J256" s="51">
        <v>2.3043499999999999</v>
      </c>
      <c r="K256" s="40"/>
      <c r="L256" s="59" t="s">
        <v>8</v>
      </c>
      <c r="M256" s="51">
        <v>9.6119999999999997E-2</v>
      </c>
    </row>
    <row r="257" spans="8:13" x14ac:dyDescent="0.3">
      <c r="H257" s="40"/>
      <c r="I257" s="59"/>
      <c r="J257" s="51">
        <v>0.36520999999999998</v>
      </c>
      <c r="K257" s="40"/>
      <c r="L257" s="59"/>
      <c r="M257" s="51">
        <v>1.342E-2</v>
      </c>
    </row>
    <row r="258" spans="8:13" x14ac:dyDescent="0.3">
      <c r="H258" s="40"/>
      <c r="I258" s="59"/>
      <c r="J258" s="51">
        <v>0.48204999999999998</v>
      </c>
      <c r="K258" s="40"/>
      <c r="L258" s="59"/>
      <c r="M258" s="51">
        <v>1.8280000000000001E-2</v>
      </c>
    </row>
    <row r="259" spans="8:13" x14ac:dyDescent="0.3">
      <c r="H259" s="40"/>
      <c r="I259" s="59" t="s">
        <v>9</v>
      </c>
      <c r="J259" s="51">
        <v>2.8189409909999998E-2</v>
      </c>
      <c r="K259" s="40"/>
      <c r="L259" s="59" t="s">
        <v>9</v>
      </c>
      <c r="M259" s="51">
        <v>2.150668092E-2</v>
      </c>
    </row>
    <row r="260" spans="8:13" x14ac:dyDescent="0.3">
      <c r="H260" s="40"/>
      <c r="I260" s="59" t="s">
        <v>10</v>
      </c>
      <c r="J260" s="51">
        <v>9.5065600000000003</v>
      </c>
      <c r="K260" s="40"/>
      <c r="L260" s="59" t="s">
        <v>10</v>
      </c>
      <c r="M260" s="51">
        <v>0.28682663753000004</v>
      </c>
    </row>
    <row r="261" spans="8:13" x14ac:dyDescent="0.3">
      <c r="H261" s="40"/>
      <c r="I261" s="59" t="s">
        <v>11</v>
      </c>
      <c r="J261" s="51">
        <v>1.97001</v>
      </c>
      <c r="K261" s="40"/>
      <c r="L261" s="59" t="s">
        <v>11</v>
      </c>
      <c r="M261" s="51">
        <v>5.595E-2</v>
      </c>
    </row>
    <row r="262" spans="8:13" x14ac:dyDescent="0.3">
      <c r="H262" s="40"/>
      <c r="I262" s="59"/>
      <c r="J262" s="51">
        <v>1.15151</v>
      </c>
      <c r="K262" s="40"/>
      <c r="L262" s="59"/>
      <c r="M262" s="51">
        <v>3.1280000000000002E-2</v>
      </c>
    </row>
    <row r="263" spans="8:13" x14ac:dyDescent="0.3">
      <c r="H263" s="40"/>
      <c r="I263" s="59"/>
      <c r="J263" s="51">
        <v>1.88035</v>
      </c>
      <c r="K263" s="40"/>
      <c r="L263" s="59"/>
      <c r="M263" s="51">
        <v>6.1100000000000002E-2</v>
      </c>
    </row>
    <row r="264" spans="8:13" x14ac:dyDescent="0.3">
      <c r="H264" s="40"/>
      <c r="I264" s="59" t="s">
        <v>12</v>
      </c>
      <c r="J264" s="51">
        <v>0</v>
      </c>
      <c r="K264" s="40"/>
      <c r="L264" s="59" t="s">
        <v>12</v>
      </c>
      <c r="M264" s="51">
        <v>2.362025911E-2</v>
      </c>
    </row>
    <row r="265" spans="8:13" x14ac:dyDescent="0.3">
      <c r="H265" s="40"/>
      <c r="I265" s="59"/>
      <c r="J265" s="51">
        <v>2.9296899999999999</v>
      </c>
      <c r="K265" s="40"/>
      <c r="L265" s="59"/>
      <c r="M265" s="51">
        <v>8.2960000000000006E-2</v>
      </c>
    </row>
    <row r="266" spans="8:13" x14ac:dyDescent="0.3">
      <c r="H266" s="40"/>
      <c r="I266" s="59"/>
      <c r="J266" s="51">
        <v>0.95806000000000002</v>
      </c>
      <c r="K266" s="40"/>
      <c r="L266" s="59"/>
      <c r="M266" s="51">
        <v>2.3849999999999996E-2</v>
      </c>
    </row>
    <row r="267" spans="8:13" x14ac:dyDescent="0.3">
      <c r="H267" s="40"/>
      <c r="I267" s="59"/>
      <c r="J267" s="51">
        <v>0.33964</v>
      </c>
      <c r="K267" s="40"/>
      <c r="L267" s="59"/>
      <c r="M267" s="51">
        <v>5.4005960199999996E-3</v>
      </c>
    </row>
    <row r="268" spans="8:13" x14ac:dyDescent="0.3">
      <c r="H268" s="40">
        <v>24</v>
      </c>
      <c r="I268" s="59" t="s">
        <v>7</v>
      </c>
      <c r="J268" s="51">
        <v>1.9173761071099999</v>
      </c>
    </row>
    <row r="269" spans="8:13" x14ac:dyDescent="0.3">
      <c r="H269" s="40"/>
      <c r="I269" s="59"/>
      <c r="J269" s="51">
        <v>1.13591</v>
      </c>
    </row>
    <row r="270" spans="8:13" x14ac:dyDescent="0.3">
      <c r="H270" s="40"/>
      <c r="I270" s="59" t="s">
        <v>8</v>
      </c>
      <c r="J270" s="51">
        <v>1.3585700000000001</v>
      </c>
    </row>
    <row r="271" spans="8:13" x14ac:dyDescent="0.3">
      <c r="H271" s="40"/>
      <c r="I271" s="59"/>
      <c r="J271" s="51">
        <v>0.21110999999999999</v>
      </c>
    </row>
    <row r="272" spans="8:13" x14ac:dyDescent="0.3">
      <c r="H272" s="40"/>
      <c r="I272" s="59"/>
      <c r="J272" s="51">
        <v>0.27618999999999999</v>
      </c>
    </row>
    <row r="273" spans="8:10" x14ac:dyDescent="0.3">
      <c r="H273" s="40"/>
      <c r="I273" s="59" t="s">
        <v>9</v>
      </c>
      <c r="J273" s="51">
        <v>2.9699409910000002E-2</v>
      </c>
    </row>
    <row r="274" spans="8:10" x14ac:dyDescent="0.3">
      <c r="H274" s="40"/>
      <c r="I274" s="59" t="s">
        <v>10</v>
      </c>
      <c r="J274" s="51">
        <v>5.9152800000000001</v>
      </c>
    </row>
    <row r="275" spans="8:10" x14ac:dyDescent="0.3">
      <c r="H275" s="40"/>
      <c r="I275" s="59" t="s">
        <v>11</v>
      </c>
      <c r="J275" s="51">
        <v>1.13243</v>
      </c>
    </row>
    <row r="276" spans="8:10" x14ac:dyDescent="0.3">
      <c r="H276" s="40"/>
      <c r="I276" s="59"/>
      <c r="J276" s="51">
        <v>0.65405999999999997</v>
      </c>
    </row>
    <row r="277" spans="8:10" x14ac:dyDescent="0.3">
      <c r="H277" s="40"/>
      <c r="I277" s="59"/>
      <c r="J277" s="51">
        <v>1.14439</v>
      </c>
    </row>
    <row r="278" spans="8:10" x14ac:dyDescent="0.3">
      <c r="H278" s="40"/>
      <c r="I278" s="59" t="s">
        <v>12</v>
      </c>
      <c r="J278" s="51">
        <v>0</v>
      </c>
    </row>
    <row r="279" spans="8:10" x14ac:dyDescent="0.3">
      <c r="H279" s="40"/>
      <c r="I279" s="59"/>
      <c r="J279" s="51">
        <v>1.7278800000000001</v>
      </c>
    </row>
    <row r="280" spans="8:10" x14ac:dyDescent="0.3">
      <c r="H280" s="40"/>
      <c r="I280" s="59"/>
      <c r="J280" s="51">
        <v>0.54161000000000004</v>
      </c>
    </row>
    <row r="281" spans="8:10" x14ac:dyDescent="0.3">
      <c r="H281" s="40"/>
      <c r="I281" s="59"/>
      <c r="J281" s="51">
        <v>0.19968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6ABA-C0FC-48E9-81D6-87AC31659805}">
  <dimension ref="A1:J15"/>
  <sheetViews>
    <sheetView zoomScale="113" workbookViewId="0">
      <selection activeCell="D21" sqref="D21"/>
    </sheetView>
  </sheetViews>
  <sheetFormatPr defaultRowHeight="14.4" x14ac:dyDescent="0.3"/>
  <cols>
    <col min="5" max="5" width="20.33203125" customWidth="1"/>
    <col min="6" max="6" width="17" customWidth="1"/>
    <col min="9" max="9" width="15" customWidth="1"/>
    <col min="10" max="10" width="13.88671875" customWidth="1"/>
  </cols>
  <sheetData>
    <row r="1" spans="1:10" ht="15.6" x14ac:dyDescent="0.3">
      <c r="A1" s="13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I1" s="51" t="s">
        <v>2</v>
      </c>
      <c r="J1" s="51" t="s">
        <v>4</v>
      </c>
    </row>
    <row r="2" spans="1:10" ht="15.6" x14ac:dyDescent="0.3">
      <c r="A2" s="14">
        <v>1</v>
      </c>
      <c r="B2" s="9" t="s">
        <v>9</v>
      </c>
      <c r="C2" s="9">
        <v>1460.82</v>
      </c>
      <c r="D2" s="9">
        <v>1.74254</v>
      </c>
      <c r="E2" s="10">
        <v>1.323E-2</v>
      </c>
      <c r="F2" s="10">
        <v>2.2219100000000001E-3</v>
      </c>
      <c r="I2" s="58" t="s">
        <v>9</v>
      </c>
      <c r="J2" s="58">
        <v>1.74254</v>
      </c>
    </row>
    <row r="3" spans="1:10" ht="15.6" x14ac:dyDescent="0.3">
      <c r="A3" s="14">
        <v>2</v>
      </c>
      <c r="B3" s="9" t="s">
        <v>10</v>
      </c>
      <c r="C3" s="9">
        <v>238.63</v>
      </c>
      <c r="D3" s="11">
        <v>7.7333699999999999</v>
      </c>
      <c r="E3" s="10">
        <v>2.9870000000000001E-2</v>
      </c>
      <c r="F3" s="10">
        <v>2.5069999999999999E-2</v>
      </c>
      <c r="I3" s="58" t="s">
        <v>10</v>
      </c>
      <c r="J3" s="58">
        <v>7.7333699999999999</v>
      </c>
    </row>
    <row r="4" spans="1:10" ht="15.6" x14ac:dyDescent="0.3">
      <c r="A4" s="14"/>
      <c r="B4" s="9" t="s">
        <v>11</v>
      </c>
      <c r="C4" s="9">
        <v>911.21</v>
      </c>
      <c r="D4" s="11">
        <v>1.39327</v>
      </c>
      <c r="E4" s="10">
        <v>1.238E-2</v>
      </c>
      <c r="F4" s="10">
        <v>8.6658199999999994E-3</v>
      </c>
      <c r="I4" s="58" t="s">
        <v>11</v>
      </c>
      <c r="J4" s="58">
        <v>1.39327</v>
      </c>
    </row>
    <row r="5" spans="1:10" ht="15.6" x14ac:dyDescent="0.3">
      <c r="A5" s="14"/>
      <c r="B5" s="9"/>
      <c r="C5" s="9">
        <v>968.97</v>
      </c>
      <c r="D5" s="11">
        <v>0.80701000000000001</v>
      </c>
      <c r="E5" s="10">
        <v>9.6802499999999996E-3</v>
      </c>
      <c r="F5" s="10">
        <v>8.3988899999999991E-3</v>
      </c>
      <c r="I5" s="58"/>
      <c r="J5" s="58">
        <v>0.80701000000000001</v>
      </c>
    </row>
    <row r="6" spans="1:10" ht="15.6" x14ac:dyDescent="0.3">
      <c r="A6" s="14"/>
      <c r="B6" s="9"/>
      <c r="C6" s="9">
        <v>338.32</v>
      </c>
      <c r="D6" s="11">
        <v>1.42353</v>
      </c>
      <c r="E6" s="10">
        <v>1.7260000000000001E-2</v>
      </c>
      <c r="F6" s="10">
        <v>2.8799999999999999E-2</v>
      </c>
      <c r="I6" s="58"/>
      <c r="J6" s="58">
        <v>1.42353</v>
      </c>
    </row>
    <row r="7" spans="1:10" ht="15.6" x14ac:dyDescent="0.3">
      <c r="A7" s="14"/>
      <c r="B7" s="9" t="s">
        <v>12</v>
      </c>
      <c r="C7" s="9">
        <v>2614.5300000000002</v>
      </c>
      <c r="D7" s="11">
        <v>0.70038999999999996</v>
      </c>
      <c r="E7" s="10">
        <v>8.4528499999999996E-3</v>
      </c>
      <c r="F7" s="10">
        <v>2.8137000000000001E-3</v>
      </c>
      <c r="I7" s="58" t="s">
        <v>12</v>
      </c>
      <c r="J7" s="58">
        <v>0.70038999999999996</v>
      </c>
    </row>
    <row r="8" spans="1:10" ht="15.6" x14ac:dyDescent="0.3">
      <c r="A8" s="14"/>
      <c r="B8" s="9"/>
      <c r="C8" s="9">
        <v>583.19000000000005</v>
      </c>
      <c r="D8" s="9">
        <v>2.15707</v>
      </c>
      <c r="E8" s="10">
        <v>1.575E-2</v>
      </c>
      <c r="F8" s="10">
        <v>1.323E-2</v>
      </c>
      <c r="I8" s="58"/>
      <c r="J8" s="58">
        <v>2.15707</v>
      </c>
    </row>
    <row r="9" spans="1:10" ht="15.6" x14ac:dyDescent="0.3">
      <c r="A9" s="14"/>
      <c r="B9" s="9"/>
      <c r="C9" s="9">
        <v>510.77</v>
      </c>
      <c r="D9" s="11">
        <v>0.67276999999999998</v>
      </c>
      <c r="E9" s="10">
        <v>1.0319999999999999E-2</v>
      </c>
      <c r="F9" s="10">
        <v>1.453E-2</v>
      </c>
      <c r="I9" s="58"/>
      <c r="J9" s="58">
        <v>0.67276999999999998</v>
      </c>
    </row>
    <row r="10" spans="1:10" ht="15.6" x14ac:dyDescent="0.3">
      <c r="A10" s="14"/>
      <c r="B10" s="9"/>
      <c r="C10" s="9">
        <v>860.56</v>
      </c>
      <c r="D10" s="11">
        <v>0.24462</v>
      </c>
      <c r="E10" s="10">
        <v>5.8265000000000001E-3</v>
      </c>
      <c r="F10" s="10">
        <v>7.1248700000000002E-3</v>
      </c>
      <c r="I10" s="58"/>
      <c r="J10" s="58">
        <v>0.24462</v>
      </c>
    </row>
    <row r="11" spans="1:10" ht="15.6" x14ac:dyDescent="0.3">
      <c r="A11" s="14">
        <v>3</v>
      </c>
      <c r="B11" s="9" t="s">
        <v>7</v>
      </c>
      <c r="C11" s="9">
        <v>351.93</v>
      </c>
      <c r="D11" s="11">
        <v>6.8928799999999999</v>
      </c>
      <c r="E11" s="10">
        <v>2.7959999999999999E-2</v>
      </c>
      <c r="F11" s="10">
        <v>2.214E-2</v>
      </c>
      <c r="I11" s="58" t="s">
        <v>7</v>
      </c>
      <c r="J11" s="58">
        <v>6.8928799999999999</v>
      </c>
    </row>
    <row r="12" spans="1:10" ht="15.6" x14ac:dyDescent="0.3">
      <c r="A12" s="14"/>
      <c r="B12" s="9"/>
      <c r="C12" s="9">
        <v>295.22000000000003</v>
      </c>
      <c r="D12" s="11">
        <v>4.0803000000000003</v>
      </c>
      <c r="E12" s="10">
        <v>2.248E-2</v>
      </c>
      <c r="F12" s="10">
        <v>2.2020000000000001E-2</v>
      </c>
      <c r="I12" s="58"/>
      <c r="J12" s="58">
        <v>4.0803000000000003</v>
      </c>
    </row>
    <row r="13" spans="1:10" ht="15.6" x14ac:dyDescent="0.3">
      <c r="A13" s="14"/>
      <c r="B13" s="9" t="s">
        <v>8</v>
      </c>
      <c r="C13" s="9">
        <v>609.32000000000005</v>
      </c>
      <c r="D13" s="11">
        <v>4.8761000000000001</v>
      </c>
      <c r="E13" s="10">
        <v>2.2759999999999999E-2</v>
      </c>
      <c r="F13" s="10">
        <v>1.282E-2</v>
      </c>
      <c r="I13" s="58" t="s">
        <v>8</v>
      </c>
      <c r="J13" s="58">
        <v>4.8761000000000001</v>
      </c>
    </row>
    <row r="14" spans="1:10" ht="15.6" x14ac:dyDescent="0.3">
      <c r="A14" s="14"/>
      <c r="B14" s="9"/>
      <c r="C14" s="9">
        <v>1764.49</v>
      </c>
      <c r="D14" s="11">
        <v>0.76163999999999998</v>
      </c>
      <c r="E14" s="10">
        <v>8.9167499999999993E-3</v>
      </c>
      <c r="F14" s="10">
        <v>4.2937299999999999E-3</v>
      </c>
      <c r="I14" s="58"/>
      <c r="J14" s="58">
        <v>0.76163999999999998</v>
      </c>
    </row>
    <row r="15" spans="1:10" ht="15.6" x14ac:dyDescent="0.3">
      <c r="A15" s="14"/>
      <c r="B15" s="9"/>
      <c r="C15" s="9">
        <v>1120.2940000000001</v>
      </c>
      <c r="D15" s="11">
        <v>0.98085</v>
      </c>
      <c r="E15" s="10">
        <v>1.064E-2</v>
      </c>
      <c r="F15" s="10">
        <v>8.9658700000000008E-3</v>
      </c>
      <c r="I15" s="58"/>
      <c r="J15" s="58">
        <v>0.98085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FD86-7765-4A95-983F-6969DC329EB4}">
  <dimension ref="A1:F547"/>
  <sheetViews>
    <sheetView workbookViewId="0">
      <selection activeCell="H18" sqref="H18"/>
    </sheetView>
  </sheetViews>
  <sheetFormatPr defaultRowHeight="14.4" x14ac:dyDescent="0.3"/>
  <cols>
    <col min="1" max="1" width="11" customWidth="1"/>
    <col min="2" max="2" width="15.5546875" customWidth="1"/>
    <col min="3" max="3" width="13.21875" customWidth="1"/>
    <col min="4" max="4" width="12.109375" customWidth="1"/>
    <col min="5" max="5" width="15" customWidth="1"/>
    <col min="6" max="6" width="11.5546875" customWidth="1"/>
  </cols>
  <sheetData>
    <row r="1" spans="1:6" ht="15.6" x14ac:dyDescent="0.3">
      <c r="A1" s="45" t="s">
        <v>241</v>
      </c>
      <c r="B1" s="45" t="s">
        <v>2</v>
      </c>
      <c r="C1" s="45" t="s">
        <v>247</v>
      </c>
      <c r="D1" s="45" t="s">
        <v>241</v>
      </c>
      <c r="E1" s="45" t="s">
        <v>2</v>
      </c>
      <c r="F1" s="45" t="s">
        <v>247</v>
      </c>
    </row>
    <row r="2" spans="1:6" ht="15.6" x14ac:dyDescent="0.3">
      <c r="A2" s="45">
        <v>1</v>
      </c>
      <c r="B2" s="46" t="s">
        <v>7</v>
      </c>
      <c r="C2" s="46">
        <v>0.19961000000000001</v>
      </c>
      <c r="D2" s="45">
        <v>25</v>
      </c>
      <c r="E2" s="46" t="s">
        <v>7</v>
      </c>
      <c r="F2" s="46">
        <v>0.31877</v>
      </c>
    </row>
    <row r="3" spans="1:6" ht="15.6" x14ac:dyDescent="0.3">
      <c r="A3" s="45"/>
      <c r="B3" s="46"/>
      <c r="C3" s="46">
        <v>0.11296</v>
      </c>
      <c r="D3" s="45"/>
      <c r="E3" s="46"/>
      <c r="F3" s="46">
        <v>0.19262000000000001</v>
      </c>
    </row>
    <row r="4" spans="1:6" ht="15.6" x14ac:dyDescent="0.3">
      <c r="A4" s="45"/>
      <c r="B4" s="46" t="s">
        <v>8</v>
      </c>
      <c r="C4" s="46">
        <v>0.14685000000000001</v>
      </c>
      <c r="D4" s="45"/>
      <c r="E4" s="46" t="s">
        <v>8</v>
      </c>
      <c r="F4" s="46">
        <v>0.22109000000000001</v>
      </c>
    </row>
    <row r="5" spans="1:6" ht="15.6" x14ac:dyDescent="0.3">
      <c r="A5" s="45"/>
      <c r="B5" s="46"/>
      <c r="C5" s="46">
        <v>2.392E-2</v>
      </c>
      <c r="D5" s="45"/>
      <c r="E5" s="46"/>
      <c r="F5" s="46">
        <v>3.5549999999999998E-2</v>
      </c>
    </row>
    <row r="6" spans="1:6" ht="15.6" x14ac:dyDescent="0.3">
      <c r="A6" s="45"/>
      <c r="B6" s="46"/>
      <c r="C6" s="46">
        <v>2.972E-2</v>
      </c>
      <c r="D6" s="45"/>
      <c r="E6" s="46"/>
      <c r="F6" s="46">
        <v>4.4740000000000002E-2</v>
      </c>
    </row>
    <row r="7" spans="1:6" ht="15.6" x14ac:dyDescent="0.3">
      <c r="A7" s="45"/>
      <c r="B7" s="46" t="s">
        <v>9</v>
      </c>
      <c r="C7" s="46">
        <v>1.426E-2</v>
      </c>
      <c r="D7" s="45"/>
      <c r="E7" s="46" t="s">
        <v>9</v>
      </c>
      <c r="F7" s="46">
        <v>1.6789999999999999E-2</v>
      </c>
    </row>
    <row r="8" spans="1:6" ht="15.6" x14ac:dyDescent="0.3">
      <c r="A8" s="45"/>
      <c r="B8" s="46" t="s">
        <v>10</v>
      </c>
      <c r="C8" s="46">
        <v>0.33118999999999998</v>
      </c>
      <c r="D8" s="45"/>
      <c r="E8" s="46" t="s">
        <v>10</v>
      </c>
      <c r="F8" s="46">
        <v>0.91869000000000001</v>
      </c>
    </row>
    <row r="9" spans="1:6" ht="15.6" x14ac:dyDescent="0.3">
      <c r="A9" s="45"/>
      <c r="B9" s="46" t="s">
        <v>11</v>
      </c>
      <c r="C9" s="46">
        <v>7.1859999999999993E-2</v>
      </c>
      <c r="D9" s="45"/>
      <c r="E9" s="46" t="s">
        <v>11</v>
      </c>
      <c r="F9" s="46">
        <v>0.16797000000000001</v>
      </c>
    </row>
    <row r="10" spans="1:6" ht="15.6" x14ac:dyDescent="0.3">
      <c r="A10" s="45"/>
      <c r="B10" s="46"/>
      <c r="C10" s="46">
        <v>4.5179999999999998E-2</v>
      </c>
      <c r="D10" s="45"/>
      <c r="E10" s="46"/>
      <c r="F10" s="46">
        <v>9.4689999999999996E-2</v>
      </c>
    </row>
    <row r="11" spans="1:6" ht="15.6" x14ac:dyDescent="0.3">
      <c r="A11" s="45"/>
      <c r="B11" s="46"/>
      <c r="C11" s="46">
        <v>7.0940000000000003E-2</v>
      </c>
      <c r="D11" s="45"/>
      <c r="E11" s="46"/>
      <c r="F11" s="46">
        <v>0.17052</v>
      </c>
    </row>
    <row r="12" spans="1:6" ht="15.6" x14ac:dyDescent="0.3">
      <c r="A12" s="45"/>
      <c r="B12" s="46" t="s">
        <v>12</v>
      </c>
      <c r="C12" s="46">
        <v>4.6179999999999999E-2</v>
      </c>
      <c r="D12" s="45"/>
      <c r="E12" s="46" t="s">
        <v>12</v>
      </c>
      <c r="F12" s="46">
        <v>8.8999999999999996E-2</v>
      </c>
    </row>
    <row r="13" spans="1:6" ht="15.6" x14ac:dyDescent="0.3">
      <c r="A13" s="45"/>
      <c r="B13" s="46"/>
      <c r="C13" s="46">
        <v>0.12161</v>
      </c>
      <c r="D13" s="45"/>
      <c r="E13" s="46"/>
      <c r="F13" s="46">
        <v>0.26450000000000001</v>
      </c>
    </row>
    <row r="14" spans="1:6" ht="15.6" x14ac:dyDescent="0.3">
      <c r="A14" s="45"/>
      <c r="B14" s="46"/>
      <c r="C14" s="46">
        <v>6.1429999999999998E-2</v>
      </c>
      <c r="D14" s="45"/>
      <c r="E14" s="46"/>
      <c r="F14" s="46">
        <v>0.10242</v>
      </c>
    </row>
    <row r="15" spans="1:6" ht="15.6" x14ac:dyDescent="0.3">
      <c r="A15" s="45"/>
      <c r="B15" s="46"/>
      <c r="C15" s="46">
        <v>1.226E-2</v>
      </c>
      <c r="D15" s="45"/>
      <c r="E15" s="46"/>
      <c r="F15" s="46">
        <v>3.0759999999999999E-2</v>
      </c>
    </row>
    <row r="16" spans="1:6" ht="15.6" x14ac:dyDescent="0.3">
      <c r="A16" s="45">
        <v>2</v>
      </c>
      <c r="B16" s="46" t="s">
        <v>7</v>
      </c>
      <c r="C16" s="46">
        <v>5.82836</v>
      </c>
      <c r="D16" s="45">
        <v>26</v>
      </c>
      <c r="E16" s="46" t="s">
        <v>7</v>
      </c>
      <c r="F16" s="46">
        <v>0.29369000000000001</v>
      </c>
    </row>
    <row r="17" spans="1:6" ht="15.6" x14ac:dyDescent="0.3">
      <c r="A17" s="45"/>
      <c r="B17" s="46"/>
      <c r="C17" s="46">
        <v>3.4231600000000002</v>
      </c>
      <c r="D17" s="45"/>
      <c r="E17" s="46"/>
      <c r="F17" s="46">
        <v>0.17172999999999999</v>
      </c>
    </row>
    <row r="18" spans="1:6" ht="15.6" x14ac:dyDescent="0.3">
      <c r="A18" s="45"/>
      <c r="B18" s="46" t="s">
        <v>8</v>
      </c>
      <c r="C18" s="46">
        <v>4.2398699999999998</v>
      </c>
      <c r="D18" s="45"/>
      <c r="E18" s="46" t="s">
        <v>8</v>
      </c>
      <c r="F18" s="46">
        <v>0.21057999999999999</v>
      </c>
    </row>
    <row r="19" spans="1:6" ht="15.6" x14ac:dyDescent="0.3">
      <c r="A19" s="45"/>
      <c r="B19" s="46"/>
      <c r="C19" s="46">
        <v>0.66900999999999999</v>
      </c>
      <c r="D19" s="45"/>
      <c r="E19" s="46"/>
      <c r="F19" s="46">
        <v>3.09E-2</v>
      </c>
    </row>
    <row r="20" spans="1:6" ht="15.6" x14ac:dyDescent="0.3">
      <c r="A20" s="45"/>
      <c r="B20" s="46"/>
      <c r="C20" s="46">
        <v>0.88829999999999998</v>
      </c>
      <c r="D20" s="45"/>
      <c r="E20" s="46"/>
      <c r="F20" s="46">
        <v>3.8580000000000003E-2</v>
      </c>
    </row>
    <row r="21" spans="1:6" ht="15.6" x14ac:dyDescent="0.3">
      <c r="A21" s="45"/>
      <c r="B21" s="46" t="s">
        <v>9</v>
      </c>
      <c r="C21" s="46">
        <v>9.2789999999999997E-2</v>
      </c>
      <c r="D21" s="45"/>
      <c r="E21" s="46" t="s">
        <v>9</v>
      </c>
      <c r="F21" s="46">
        <v>1.67E-2</v>
      </c>
    </row>
    <row r="22" spans="1:6" ht="15.6" x14ac:dyDescent="0.3">
      <c r="A22" s="45"/>
      <c r="B22" s="46" t="s">
        <v>10</v>
      </c>
      <c r="C22" s="46">
        <v>23.590409999999999</v>
      </c>
      <c r="D22" s="45"/>
      <c r="E22" s="46" t="s">
        <v>10</v>
      </c>
      <c r="F22" s="46">
        <v>0.86804999999999999</v>
      </c>
    </row>
    <row r="23" spans="1:6" ht="15.6" x14ac:dyDescent="0.3">
      <c r="A23" s="45"/>
      <c r="B23" s="46" t="s">
        <v>11</v>
      </c>
      <c r="C23" s="46">
        <v>4.5730300000000002</v>
      </c>
      <c r="D23" s="45"/>
      <c r="E23" s="46" t="s">
        <v>11</v>
      </c>
      <c r="F23" s="46">
        <v>0.15597</v>
      </c>
    </row>
    <row r="24" spans="1:6" ht="15.6" x14ac:dyDescent="0.3">
      <c r="A24" s="45"/>
      <c r="B24" s="46"/>
      <c r="C24" s="46">
        <v>2.6357599999999999</v>
      </c>
      <c r="D24" s="45"/>
      <c r="E24" s="46"/>
      <c r="F24" s="46">
        <v>9.1740000000000002E-2</v>
      </c>
    </row>
    <row r="25" spans="1:6" ht="15.6" x14ac:dyDescent="0.3">
      <c r="A25" s="45"/>
      <c r="B25" s="46"/>
      <c r="C25" s="46">
        <v>4.4253499999999999</v>
      </c>
      <c r="D25" s="45"/>
      <c r="E25" s="46"/>
      <c r="F25" s="46">
        <v>0.16497000000000001</v>
      </c>
    </row>
    <row r="26" spans="1:6" ht="15.6" x14ac:dyDescent="0.3">
      <c r="A26" s="45"/>
      <c r="B26" s="46" t="s">
        <v>12</v>
      </c>
      <c r="C26" s="46">
        <v>2.34572</v>
      </c>
      <c r="D26" s="45"/>
      <c r="E26" s="46" t="s">
        <v>12</v>
      </c>
      <c r="F26" s="46">
        <v>8.4699999999999998E-2</v>
      </c>
    </row>
    <row r="27" spans="1:6" ht="15.6" x14ac:dyDescent="0.3">
      <c r="A27" s="45"/>
      <c r="B27" s="46"/>
      <c r="C27" s="46">
        <v>6.8753500000000001</v>
      </c>
      <c r="D27" s="45"/>
      <c r="E27" s="46"/>
      <c r="F27" s="46">
        <v>0.25091000000000002</v>
      </c>
    </row>
    <row r="28" spans="1:6" ht="15.6" x14ac:dyDescent="0.3">
      <c r="A28" s="45"/>
      <c r="B28" s="46"/>
      <c r="C28" s="46">
        <v>2.1968999999999999</v>
      </c>
      <c r="D28" s="45"/>
      <c r="E28" s="46"/>
      <c r="F28" s="46">
        <v>9.7720000000000001E-2</v>
      </c>
    </row>
    <row r="29" spans="1:6" ht="15.6" x14ac:dyDescent="0.3">
      <c r="A29" s="45"/>
      <c r="B29" s="46"/>
      <c r="C29" s="46">
        <v>0.79091999999999996</v>
      </c>
      <c r="D29" s="45"/>
      <c r="E29" s="46"/>
      <c r="F29" s="46">
        <v>2.9409999999999999E-2</v>
      </c>
    </row>
    <row r="30" spans="1:6" ht="15.6" x14ac:dyDescent="0.3">
      <c r="A30" s="45">
        <v>3</v>
      </c>
      <c r="B30" s="46" t="s">
        <v>7</v>
      </c>
      <c r="C30" s="46">
        <v>16.486910000000002</v>
      </c>
      <c r="D30" s="45">
        <v>27</v>
      </c>
      <c r="E30" s="46" t="s">
        <v>7</v>
      </c>
      <c r="F30" s="46">
        <v>0.68318999999999996</v>
      </c>
    </row>
    <row r="31" spans="1:6" ht="15.6" x14ac:dyDescent="0.3">
      <c r="A31" s="45"/>
      <c r="B31" s="46"/>
      <c r="C31" s="46">
        <v>9.5885800000000003</v>
      </c>
      <c r="D31" s="45"/>
      <c r="E31" s="46"/>
      <c r="F31" s="46">
        <v>0.40194000000000002</v>
      </c>
    </row>
    <row r="32" spans="1:6" ht="15.6" x14ac:dyDescent="0.3">
      <c r="A32" s="45"/>
      <c r="B32" s="46" t="s">
        <v>8</v>
      </c>
      <c r="C32" s="46">
        <v>12.20491</v>
      </c>
      <c r="D32" s="45"/>
      <c r="E32" s="46" t="s">
        <v>8</v>
      </c>
      <c r="F32" s="46">
        <v>0.47633999999999999</v>
      </c>
    </row>
    <row r="33" spans="1:6" ht="15.6" x14ac:dyDescent="0.3">
      <c r="A33" s="45"/>
      <c r="B33" s="46"/>
      <c r="C33" s="46">
        <v>1.9962500000000001</v>
      </c>
      <c r="D33" s="45"/>
      <c r="E33" s="46"/>
      <c r="F33" s="46">
        <v>7.0529999999999995E-2</v>
      </c>
    </row>
    <row r="34" spans="1:6" ht="15.6" x14ac:dyDescent="0.3">
      <c r="A34" s="45"/>
      <c r="B34" s="46"/>
      <c r="C34" s="46">
        <v>2.5588099999999998</v>
      </c>
      <c r="D34" s="45"/>
      <c r="E34" s="46"/>
      <c r="F34" s="46">
        <v>9.3310000000000004E-2</v>
      </c>
    </row>
    <row r="35" spans="1:6" ht="15.6" x14ac:dyDescent="0.3">
      <c r="A35" s="45"/>
      <c r="B35" s="46" t="s">
        <v>9</v>
      </c>
      <c r="C35" s="46">
        <v>0.12573000000000001</v>
      </c>
      <c r="D35" s="45"/>
      <c r="E35" s="46" t="s">
        <v>9</v>
      </c>
      <c r="F35" s="46">
        <v>1.29E-2</v>
      </c>
    </row>
    <row r="36" spans="1:6" ht="15.6" x14ac:dyDescent="0.3">
      <c r="A36" s="45"/>
      <c r="B36" s="46" t="s">
        <v>10</v>
      </c>
      <c r="C36" s="46">
        <v>28.660440000000001</v>
      </c>
      <c r="D36" s="45"/>
      <c r="E36" s="46" t="s">
        <v>10</v>
      </c>
      <c r="F36" s="46">
        <v>2.1761900000000001</v>
      </c>
    </row>
    <row r="37" spans="1:6" ht="15.6" x14ac:dyDescent="0.3">
      <c r="A37" s="45"/>
      <c r="B37" s="46" t="s">
        <v>11</v>
      </c>
      <c r="C37" s="46">
        <v>6.30037</v>
      </c>
      <c r="D37" s="45"/>
      <c r="E37" s="46" t="s">
        <v>11</v>
      </c>
      <c r="F37" s="46">
        <v>0.44834000000000002</v>
      </c>
    </row>
    <row r="38" spans="1:6" ht="15.6" x14ac:dyDescent="0.3">
      <c r="A38" s="45"/>
      <c r="B38" s="46"/>
      <c r="C38" s="46">
        <v>3.6341000000000001</v>
      </c>
      <c r="D38" s="45"/>
      <c r="E38" s="46"/>
      <c r="F38" s="46">
        <v>0.26368999999999998</v>
      </c>
    </row>
    <row r="39" spans="1:6" ht="15.6" x14ac:dyDescent="0.3">
      <c r="A39" s="45"/>
      <c r="B39" s="46"/>
      <c r="C39" s="46">
        <v>5.8263400000000001</v>
      </c>
      <c r="D39" s="45"/>
      <c r="E39" s="46"/>
      <c r="F39" s="46">
        <v>0.47669</v>
      </c>
    </row>
    <row r="40" spans="1:6" ht="15.6" x14ac:dyDescent="0.3">
      <c r="A40" s="45"/>
      <c r="B40" s="46" t="s">
        <v>12</v>
      </c>
      <c r="C40" s="46">
        <v>3.26315</v>
      </c>
      <c r="D40" s="45"/>
      <c r="E40" s="46" t="s">
        <v>12</v>
      </c>
      <c r="F40" s="46">
        <v>0.22566</v>
      </c>
    </row>
    <row r="41" spans="1:6" ht="15.6" x14ac:dyDescent="0.3">
      <c r="A41" s="45"/>
      <c r="B41" s="46"/>
      <c r="C41" s="46">
        <v>9.3568800000000003</v>
      </c>
      <c r="D41" s="45"/>
      <c r="E41" s="46"/>
      <c r="F41" s="46">
        <v>0.68293999999999999</v>
      </c>
    </row>
    <row r="42" spans="1:6" ht="15.6" x14ac:dyDescent="0.3">
      <c r="A42" s="45"/>
      <c r="B42" s="46"/>
      <c r="C42" s="46">
        <v>3.1710500000000001</v>
      </c>
      <c r="D42" s="45"/>
      <c r="E42" s="46"/>
      <c r="F42" s="46">
        <v>0.22264</v>
      </c>
    </row>
    <row r="43" spans="1:6" ht="15.6" x14ac:dyDescent="0.3">
      <c r="A43" s="45"/>
      <c r="B43" s="46"/>
      <c r="C43" s="46">
        <v>1.0966199999999999</v>
      </c>
      <c r="D43" s="45"/>
      <c r="E43" s="46"/>
      <c r="F43" s="46">
        <v>7.9119999999999996E-2</v>
      </c>
    </row>
    <row r="44" spans="1:6" ht="15.6" x14ac:dyDescent="0.3">
      <c r="A44" s="45">
        <v>4</v>
      </c>
      <c r="B44" s="46" t="s">
        <v>7</v>
      </c>
      <c r="C44" s="46">
        <v>8.6722699999999993</v>
      </c>
      <c r="D44" s="45">
        <v>28</v>
      </c>
      <c r="E44" s="46" t="s">
        <v>7</v>
      </c>
      <c r="F44" s="46">
        <v>5.8630000000000002E-2</v>
      </c>
    </row>
    <row r="45" spans="1:6" ht="15.6" x14ac:dyDescent="0.3">
      <c r="A45" s="45"/>
      <c r="B45" s="46"/>
      <c r="C45" s="46">
        <v>5.1073399999999998</v>
      </c>
      <c r="D45" s="45"/>
      <c r="E45" s="46"/>
      <c r="F45" s="46">
        <v>3.5990000000000001E-2</v>
      </c>
    </row>
    <row r="46" spans="1:6" ht="15.6" x14ac:dyDescent="0.3">
      <c r="A46" s="45"/>
      <c r="B46" s="46" t="s">
        <v>8</v>
      </c>
      <c r="C46" s="46">
        <v>6.2674799999999999</v>
      </c>
      <c r="D46" s="45"/>
      <c r="E46" s="46" t="s">
        <v>8</v>
      </c>
      <c r="F46" s="46">
        <v>4.3549999999999998E-2</v>
      </c>
    </row>
    <row r="47" spans="1:6" ht="15.6" x14ac:dyDescent="0.3">
      <c r="A47" s="45"/>
      <c r="B47" s="46"/>
      <c r="C47" s="46">
        <v>1.0042899999999999</v>
      </c>
      <c r="D47" s="45"/>
      <c r="E47" s="46"/>
      <c r="F47" s="47">
        <v>7.4739972300000004E-3</v>
      </c>
    </row>
    <row r="48" spans="1:6" ht="15.6" x14ac:dyDescent="0.3">
      <c r="A48" s="45"/>
      <c r="B48" s="46"/>
      <c r="C48" s="46">
        <v>1.3057300000000001</v>
      </c>
      <c r="D48" s="45"/>
      <c r="E48" s="46"/>
      <c r="F48" s="47">
        <v>8.3999459800000002E-3</v>
      </c>
    </row>
    <row r="49" spans="1:6" ht="15.6" x14ac:dyDescent="0.3">
      <c r="A49" s="45"/>
      <c r="B49" s="46" t="s">
        <v>9</v>
      </c>
      <c r="C49" s="46">
        <v>7.5660000000000005E-2</v>
      </c>
      <c r="D49" s="45"/>
      <c r="E49" s="46" t="s">
        <v>9</v>
      </c>
      <c r="F49" s="47">
        <v>6.1259158999999999E-3</v>
      </c>
    </row>
    <row r="50" spans="1:6" ht="15.6" x14ac:dyDescent="0.3">
      <c r="A50" s="45"/>
      <c r="B50" s="46" t="s">
        <v>10</v>
      </c>
      <c r="C50" s="46">
        <v>19.508400000000002</v>
      </c>
      <c r="D50" s="45"/>
      <c r="E50" s="46" t="s">
        <v>10</v>
      </c>
      <c r="F50" s="46">
        <v>0.18329000000000001</v>
      </c>
    </row>
    <row r="51" spans="1:6" ht="15.6" x14ac:dyDescent="0.3">
      <c r="A51" s="45"/>
      <c r="B51" s="46" t="s">
        <v>11</v>
      </c>
      <c r="C51" s="46">
        <v>3.9626700000000001</v>
      </c>
      <c r="D51" s="45"/>
      <c r="E51" s="46" t="s">
        <v>11</v>
      </c>
      <c r="F51" s="46">
        <v>4.129E-2</v>
      </c>
    </row>
    <row r="52" spans="1:6" ht="15.6" x14ac:dyDescent="0.3">
      <c r="A52" s="45"/>
      <c r="B52" s="46"/>
      <c r="C52" s="46">
        <v>2.2930899999999999</v>
      </c>
      <c r="D52" s="45"/>
      <c r="E52" s="46"/>
      <c r="F52" s="46">
        <v>2.2780000000000002E-2</v>
      </c>
    </row>
    <row r="53" spans="1:6" ht="15.6" x14ac:dyDescent="0.3">
      <c r="A53" s="45"/>
      <c r="B53" s="46"/>
      <c r="C53" s="46">
        <v>3.8723800000000002</v>
      </c>
      <c r="D53" s="45"/>
      <c r="E53" s="46"/>
      <c r="F53" s="46">
        <v>3.669E-2</v>
      </c>
    </row>
    <row r="54" spans="1:6" ht="15.6" x14ac:dyDescent="0.3">
      <c r="A54" s="45"/>
      <c r="B54" s="46" t="s">
        <v>12</v>
      </c>
      <c r="C54" s="46">
        <v>2.0161899999999999</v>
      </c>
      <c r="D54" s="45"/>
      <c r="E54" s="46" t="s">
        <v>12</v>
      </c>
      <c r="F54" s="46">
        <v>2.4219999999999998E-2</v>
      </c>
    </row>
    <row r="55" spans="1:6" ht="15.6" x14ac:dyDescent="0.3">
      <c r="A55" s="45"/>
      <c r="B55" s="46"/>
      <c r="C55" s="46">
        <v>5.9412900000000004</v>
      </c>
      <c r="D55" s="45"/>
      <c r="E55" s="46"/>
      <c r="F55" s="46">
        <v>5.7880000000000001E-2</v>
      </c>
    </row>
    <row r="56" spans="1:6" ht="15.6" x14ac:dyDescent="0.3">
      <c r="A56" s="45"/>
      <c r="B56" s="46"/>
      <c r="C56" s="46">
        <v>1.9478800000000001</v>
      </c>
      <c r="D56" s="45"/>
      <c r="E56" s="46"/>
      <c r="F56" s="46">
        <v>3.8379999999999997E-2</v>
      </c>
    </row>
    <row r="57" spans="1:6" ht="15.6" x14ac:dyDescent="0.3">
      <c r="A57" s="45"/>
      <c r="B57" s="46"/>
      <c r="C57" s="46">
        <v>0.67796999999999996</v>
      </c>
      <c r="D57" s="45"/>
      <c r="E57" s="46"/>
      <c r="F57" s="47">
        <v>6.05539975E-3</v>
      </c>
    </row>
    <row r="58" spans="1:6" ht="15.6" x14ac:dyDescent="0.3">
      <c r="A58" s="45">
        <v>6</v>
      </c>
      <c r="B58" s="46" t="s">
        <v>7</v>
      </c>
      <c r="C58" s="46">
        <v>6.1359999999999998E-2</v>
      </c>
      <c r="D58" s="45">
        <v>30</v>
      </c>
      <c r="E58" s="46" t="s">
        <v>7</v>
      </c>
      <c r="F58" s="46">
        <v>2.1870000000000001E-2</v>
      </c>
    </row>
    <row r="59" spans="1:6" ht="15.6" x14ac:dyDescent="0.3">
      <c r="A59" s="45"/>
      <c r="B59" s="46"/>
      <c r="C59" s="46">
        <v>3.5299999999999998E-2</v>
      </c>
      <c r="D59" s="45"/>
      <c r="E59" s="46"/>
      <c r="F59" s="46">
        <v>1.221E-2</v>
      </c>
    </row>
    <row r="60" spans="1:6" ht="15.6" x14ac:dyDescent="0.3">
      <c r="A60" s="45"/>
      <c r="B60" s="46" t="s">
        <v>8</v>
      </c>
      <c r="C60" s="46">
        <v>4.3240000000000001E-2</v>
      </c>
      <c r="D60" s="45"/>
      <c r="E60" s="46" t="s">
        <v>8</v>
      </c>
      <c r="F60" s="46">
        <v>1.67E-2</v>
      </c>
    </row>
    <row r="61" spans="1:6" ht="15.6" x14ac:dyDescent="0.3">
      <c r="A61" s="45"/>
      <c r="B61" s="46"/>
      <c r="C61" s="47">
        <v>5.7285910799999996E-3</v>
      </c>
      <c r="D61" s="45"/>
      <c r="E61" s="46"/>
      <c r="F61" s="47">
        <v>1.6570656500000001E-3</v>
      </c>
    </row>
    <row r="62" spans="1:6" ht="15.6" x14ac:dyDescent="0.3">
      <c r="A62" s="45"/>
      <c r="B62" s="46"/>
      <c r="C62" s="47">
        <v>7.6211673600000002E-3</v>
      </c>
      <c r="D62" s="45"/>
      <c r="E62" s="46"/>
      <c r="F62" s="47">
        <v>2.0140914699999998E-3</v>
      </c>
    </row>
    <row r="63" spans="1:6" ht="15.6" x14ac:dyDescent="0.3">
      <c r="A63" s="45"/>
      <c r="B63" s="46" t="s">
        <v>9</v>
      </c>
      <c r="C63" s="47">
        <v>8.5925682499999999E-3</v>
      </c>
      <c r="D63" s="45"/>
      <c r="E63" s="46" t="s">
        <v>9</v>
      </c>
      <c r="F63" s="47">
        <v>6.3933971099999999E-3</v>
      </c>
    </row>
    <row r="64" spans="1:6" ht="15.6" x14ac:dyDescent="0.3">
      <c r="A64" s="45"/>
      <c r="B64" s="46" t="s">
        <v>10</v>
      </c>
      <c r="C64" s="46">
        <v>0.22578999999999999</v>
      </c>
      <c r="D64" s="45"/>
      <c r="E64" s="46" t="s">
        <v>10</v>
      </c>
      <c r="F64" s="46">
        <v>3.2640000000000002E-2</v>
      </c>
    </row>
    <row r="65" spans="1:6" ht="15.6" x14ac:dyDescent="0.3">
      <c r="A65" s="45"/>
      <c r="B65" s="46" t="s">
        <v>11</v>
      </c>
      <c r="C65" s="46">
        <v>4.0809999999999999E-2</v>
      </c>
      <c r="D65" s="45"/>
      <c r="E65" s="46" t="s">
        <v>11</v>
      </c>
      <c r="F65" s="47">
        <v>5.6636290699999996E-3</v>
      </c>
    </row>
    <row r="66" spans="1:6" ht="15.6" x14ac:dyDescent="0.3">
      <c r="A66" s="45"/>
      <c r="B66" s="46"/>
      <c r="C66" s="46">
        <v>2.3380000000000001E-2</v>
      </c>
      <c r="D66" s="45"/>
      <c r="E66" s="46"/>
      <c r="F66" s="47">
        <v>3.9830969599999998E-3</v>
      </c>
    </row>
    <row r="67" spans="1:6" ht="15.6" x14ac:dyDescent="0.3">
      <c r="A67" s="45"/>
      <c r="B67" s="46"/>
      <c r="C67" s="46">
        <v>4.1689999999999998E-2</v>
      </c>
      <c r="D67" s="45"/>
      <c r="E67" s="46"/>
      <c r="F67" s="47">
        <v>4.4514955200000003E-3</v>
      </c>
    </row>
    <row r="68" spans="1:6" ht="15.6" x14ac:dyDescent="0.3">
      <c r="A68" s="45"/>
      <c r="B68" s="46" t="s">
        <v>12</v>
      </c>
      <c r="C68" s="46">
        <v>2.4289999999999999E-2</v>
      </c>
      <c r="D68" s="45"/>
      <c r="E68" s="46" t="s">
        <v>12</v>
      </c>
      <c r="F68" s="47">
        <v>7.8228218499999998E-3</v>
      </c>
    </row>
    <row r="69" spans="1:6" ht="15.6" x14ac:dyDescent="0.3">
      <c r="A69" s="45"/>
      <c r="B69" s="46"/>
      <c r="C69" s="46">
        <v>6.2469999999999998E-2</v>
      </c>
      <c r="D69" s="45"/>
      <c r="E69" s="46"/>
      <c r="F69" s="46">
        <v>1.1169999999999999E-2</v>
      </c>
    </row>
    <row r="70" spans="1:6" ht="15.6" x14ac:dyDescent="0.3">
      <c r="A70" s="45"/>
      <c r="B70" s="46"/>
      <c r="C70" s="46">
        <v>3.8989999999999997E-2</v>
      </c>
      <c r="D70" s="45"/>
      <c r="E70" s="46"/>
      <c r="F70" s="46">
        <v>1.9550000000000001E-2</v>
      </c>
    </row>
    <row r="71" spans="1:6" ht="15.6" x14ac:dyDescent="0.3">
      <c r="A71" s="45"/>
      <c r="B71" s="46"/>
      <c r="C71" s="47">
        <v>6.3352855699999999E-3</v>
      </c>
      <c r="D71" s="45"/>
      <c r="E71" s="46"/>
      <c r="F71" s="46"/>
    </row>
    <row r="72" spans="1:6" ht="15.6" x14ac:dyDescent="0.3">
      <c r="A72" s="45">
        <v>7</v>
      </c>
      <c r="B72" s="46" t="s">
        <v>7</v>
      </c>
      <c r="C72" s="46">
        <v>5.4020700000000001</v>
      </c>
      <c r="D72" s="45">
        <v>31</v>
      </c>
      <c r="E72" s="46" t="s">
        <v>7</v>
      </c>
      <c r="F72" s="46">
        <v>2.487E-2</v>
      </c>
    </row>
    <row r="73" spans="1:6" ht="15.6" x14ac:dyDescent="0.3">
      <c r="A73" s="45"/>
      <c r="B73" s="46"/>
      <c r="C73" s="46">
        <v>3.2126800000000002</v>
      </c>
      <c r="D73" s="45"/>
      <c r="E73" s="46"/>
      <c r="F73" s="46">
        <v>1.6369999999999999E-2</v>
      </c>
    </row>
    <row r="74" spans="1:6" ht="15.6" x14ac:dyDescent="0.3">
      <c r="A74" s="45"/>
      <c r="B74" s="46" t="s">
        <v>8</v>
      </c>
      <c r="C74" s="46">
        <v>3.8242600000000002</v>
      </c>
      <c r="D74" s="45"/>
      <c r="E74" s="46" t="s">
        <v>8</v>
      </c>
      <c r="F74" s="46">
        <v>1.7500000000000002E-2</v>
      </c>
    </row>
    <row r="75" spans="1:6" ht="15.6" x14ac:dyDescent="0.3">
      <c r="A75" s="45"/>
      <c r="B75" s="46"/>
      <c r="C75" s="46">
        <v>0.59765999999999997</v>
      </c>
      <c r="D75" s="45"/>
      <c r="E75" s="46"/>
      <c r="F75" s="47">
        <v>3.5727582699999999E-3</v>
      </c>
    </row>
    <row r="76" spans="1:6" ht="15.6" x14ac:dyDescent="0.3">
      <c r="A76" s="45"/>
      <c r="B76" s="46"/>
      <c r="C76" s="46">
        <v>0.78246000000000004</v>
      </c>
      <c r="D76" s="45"/>
      <c r="E76" s="46"/>
      <c r="F76" s="47">
        <v>3.7686860400000001E-3</v>
      </c>
    </row>
    <row r="77" spans="1:6" ht="15.6" x14ac:dyDescent="0.3">
      <c r="A77" s="45"/>
      <c r="B77" s="46" t="s">
        <v>9</v>
      </c>
      <c r="C77" s="46">
        <v>9.4839999999999994E-2</v>
      </c>
      <c r="D77" s="45"/>
      <c r="E77" s="46" t="s">
        <v>9</v>
      </c>
      <c r="F77" s="47">
        <v>5.0234610299999998E-3</v>
      </c>
    </row>
    <row r="78" spans="1:6" ht="15.6" x14ac:dyDescent="0.3">
      <c r="A78" s="45"/>
      <c r="B78" s="46" t="s">
        <v>10</v>
      </c>
      <c r="C78" s="46">
        <v>21.03227</v>
      </c>
      <c r="D78" s="45"/>
      <c r="E78" s="46" t="s">
        <v>10</v>
      </c>
      <c r="F78" s="46">
        <v>6.164E-2</v>
      </c>
    </row>
    <row r="79" spans="1:6" ht="15.6" x14ac:dyDescent="0.3">
      <c r="A79" s="45"/>
      <c r="B79" s="46" t="s">
        <v>11</v>
      </c>
      <c r="C79" s="46">
        <v>3.85616</v>
      </c>
      <c r="D79" s="45"/>
      <c r="E79" s="46" t="s">
        <v>11</v>
      </c>
      <c r="F79" s="46">
        <v>1.204E-2</v>
      </c>
    </row>
    <row r="80" spans="1:6" ht="15.6" x14ac:dyDescent="0.3">
      <c r="A80" s="45"/>
      <c r="B80" s="46"/>
      <c r="C80" s="46">
        <v>2.2327300000000001</v>
      </c>
      <c r="D80" s="45"/>
      <c r="E80" s="46"/>
      <c r="F80" s="47">
        <v>5.0181553300000003E-3</v>
      </c>
    </row>
    <row r="81" spans="1:6" ht="15.6" x14ac:dyDescent="0.3">
      <c r="A81" s="45"/>
      <c r="B81" s="46"/>
      <c r="C81" s="46">
        <v>3.9106399999999999</v>
      </c>
      <c r="D81" s="45"/>
      <c r="E81" s="46"/>
      <c r="F81" s="47">
        <v>9.8300479199999995E-3</v>
      </c>
    </row>
    <row r="82" spans="1:6" ht="15.6" x14ac:dyDescent="0.3">
      <c r="A82" s="45"/>
      <c r="B82" s="46" t="s">
        <v>12</v>
      </c>
      <c r="C82" s="46">
        <v>1.9287799999999999</v>
      </c>
      <c r="D82" s="45"/>
      <c r="E82" s="46" t="s">
        <v>12</v>
      </c>
      <c r="F82" s="47">
        <v>7.89547497E-3</v>
      </c>
    </row>
    <row r="83" spans="1:6" ht="15.6" x14ac:dyDescent="0.3">
      <c r="A83" s="45"/>
      <c r="B83" s="46"/>
      <c r="C83" s="46">
        <v>5.9160300000000001</v>
      </c>
      <c r="D83" s="45"/>
      <c r="E83" s="46"/>
      <c r="F83" s="46">
        <v>1.6809999999999999E-2</v>
      </c>
    </row>
    <row r="84" spans="1:6" ht="15.6" x14ac:dyDescent="0.3">
      <c r="A84" s="45"/>
      <c r="B84" s="46"/>
      <c r="C84" s="46">
        <v>1.82189</v>
      </c>
      <c r="D84" s="45"/>
      <c r="E84" s="46"/>
      <c r="F84" s="46">
        <v>2.4920000000000001E-2</v>
      </c>
    </row>
    <row r="85" spans="1:6" ht="15.6" x14ac:dyDescent="0.3">
      <c r="A85" s="45"/>
      <c r="B85" s="46"/>
      <c r="C85" s="46">
        <v>0.66524000000000005</v>
      </c>
      <c r="D85" s="45"/>
      <c r="E85" s="46"/>
      <c r="F85" s="46"/>
    </row>
    <row r="86" spans="1:6" ht="15.6" x14ac:dyDescent="0.3">
      <c r="A86" s="45">
        <v>8</v>
      </c>
      <c r="B86" s="46" t="s">
        <v>7</v>
      </c>
      <c r="C86" s="46">
        <v>3.2261099999999998</v>
      </c>
      <c r="D86" s="45">
        <v>32</v>
      </c>
      <c r="E86" s="46" t="s">
        <v>7</v>
      </c>
      <c r="F86" s="46">
        <v>2.5319999999999999E-2</v>
      </c>
    </row>
    <row r="87" spans="1:6" ht="15.6" x14ac:dyDescent="0.3">
      <c r="A87" s="45"/>
      <c r="B87" s="46"/>
      <c r="C87" s="46">
        <v>1.90855</v>
      </c>
      <c r="D87" s="45"/>
      <c r="E87" s="46"/>
      <c r="F87" s="46">
        <v>1.5610000000000001E-2</v>
      </c>
    </row>
    <row r="88" spans="1:6" ht="15.6" x14ac:dyDescent="0.3">
      <c r="A88" s="45"/>
      <c r="B88" s="46" t="s">
        <v>8</v>
      </c>
      <c r="C88" s="46">
        <v>2.2885200000000001</v>
      </c>
      <c r="D88" s="45"/>
      <c r="E88" s="46" t="s">
        <v>8</v>
      </c>
      <c r="F88" s="46">
        <v>2.0299999999999999E-2</v>
      </c>
    </row>
    <row r="89" spans="1:6" ht="15.6" x14ac:dyDescent="0.3">
      <c r="A89" s="45"/>
      <c r="B89" s="46"/>
      <c r="C89" s="46">
        <v>0.35025000000000001</v>
      </c>
      <c r="D89" s="45"/>
      <c r="E89" s="46"/>
      <c r="F89" s="47"/>
    </row>
    <row r="90" spans="1:6" ht="15.6" x14ac:dyDescent="0.3">
      <c r="A90" s="45"/>
      <c r="B90" s="46"/>
      <c r="C90" s="46">
        <v>0.46892</v>
      </c>
      <c r="D90" s="45"/>
      <c r="E90" s="46"/>
      <c r="F90" s="47">
        <v>2.7300539700000001E-3</v>
      </c>
    </row>
    <row r="91" spans="1:6" ht="15.6" x14ac:dyDescent="0.3">
      <c r="A91" s="45"/>
      <c r="B91" s="46" t="s">
        <v>9</v>
      </c>
      <c r="C91" s="46">
        <v>5.2080000000000001E-2</v>
      </c>
      <c r="D91" s="45"/>
      <c r="E91" s="46" t="s">
        <v>9</v>
      </c>
      <c r="F91" s="47">
        <v>5.2937642200000003E-3</v>
      </c>
    </row>
    <row r="92" spans="1:6" ht="15.6" x14ac:dyDescent="0.3">
      <c r="A92" s="45"/>
      <c r="B92" s="46" t="s">
        <v>10</v>
      </c>
      <c r="C92" s="46">
        <v>12.77411</v>
      </c>
      <c r="D92" s="45"/>
      <c r="E92" s="46" t="s">
        <v>10</v>
      </c>
      <c r="F92" s="46">
        <v>5.9569999999999998E-2</v>
      </c>
    </row>
    <row r="93" spans="1:6" ht="15.6" x14ac:dyDescent="0.3">
      <c r="A93" s="45"/>
      <c r="B93" s="46" t="s">
        <v>11</v>
      </c>
      <c r="C93" s="46">
        <v>2.3176700000000001</v>
      </c>
      <c r="D93" s="45"/>
      <c r="E93" s="46" t="s">
        <v>11</v>
      </c>
      <c r="F93" s="46">
        <v>1.026E-2</v>
      </c>
    </row>
    <row r="94" spans="1:6" ht="15.6" x14ac:dyDescent="0.3">
      <c r="A94" s="45"/>
      <c r="B94" s="46"/>
      <c r="C94" s="46">
        <v>1.3556600000000001</v>
      </c>
      <c r="D94" s="45"/>
      <c r="E94" s="46"/>
      <c r="F94" s="47">
        <v>4.0517997099999998E-3</v>
      </c>
    </row>
    <row r="95" spans="1:6" ht="15.6" x14ac:dyDescent="0.3">
      <c r="A95" s="45"/>
      <c r="B95" s="46"/>
      <c r="C95" s="46">
        <v>2.3738800000000002</v>
      </c>
      <c r="D95" s="45"/>
      <c r="E95" s="46"/>
      <c r="F95" s="46">
        <v>1.1730000000000001E-2</v>
      </c>
    </row>
    <row r="96" spans="1:6" ht="15.6" x14ac:dyDescent="0.3">
      <c r="A96" s="45"/>
      <c r="B96" s="46" t="s">
        <v>12</v>
      </c>
      <c r="C96" s="46">
        <v>1.1590400000000001</v>
      </c>
      <c r="D96" s="45"/>
      <c r="E96" s="46" t="s">
        <v>12</v>
      </c>
      <c r="F96" s="47">
        <v>7.7208031800000002E-3</v>
      </c>
    </row>
    <row r="97" spans="1:6" ht="15.6" x14ac:dyDescent="0.3">
      <c r="A97" s="45"/>
      <c r="B97" s="46"/>
      <c r="C97" s="46">
        <v>3.5626099999999998</v>
      </c>
      <c r="D97" s="45"/>
      <c r="E97" s="46"/>
      <c r="F97" s="46">
        <v>1.4619999999999999E-2</v>
      </c>
    </row>
    <row r="98" spans="1:6" ht="15.6" x14ac:dyDescent="0.3">
      <c r="A98" s="45"/>
      <c r="B98" s="46"/>
      <c r="C98" s="46">
        <v>1.11033</v>
      </c>
      <c r="D98" s="45"/>
      <c r="E98" s="46"/>
      <c r="F98" s="46">
        <v>2.631E-2</v>
      </c>
    </row>
    <row r="99" spans="1:6" ht="15.6" x14ac:dyDescent="0.3">
      <c r="A99" s="45"/>
      <c r="B99" s="46"/>
      <c r="C99" s="46">
        <v>0.40194000000000002</v>
      </c>
      <c r="D99" s="45"/>
      <c r="E99" s="46"/>
      <c r="F99" s="47"/>
    </row>
    <row r="100" spans="1:6" ht="15.6" x14ac:dyDescent="0.3">
      <c r="A100" s="45">
        <v>9</v>
      </c>
      <c r="B100" s="46" t="s">
        <v>7</v>
      </c>
      <c r="C100" s="46">
        <v>0.46023999999999998</v>
      </c>
      <c r="D100" s="45">
        <v>33</v>
      </c>
      <c r="E100" s="46" t="s">
        <v>7</v>
      </c>
      <c r="F100" s="46">
        <v>4.4150000000000002E-2</v>
      </c>
    </row>
    <row r="101" spans="1:6" ht="15.6" x14ac:dyDescent="0.3">
      <c r="A101" s="45"/>
      <c r="B101" s="46"/>
      <c r="C101" s="46">
        <v>0.27101999999999998</v>
      </c>
      <c r="D101" s="45"/>
      <c r="E101" s="46"/>
      <c r="F101" s="46">
        <v>2.759E-2</v>
      </c>
    </row>
    <row r="102" spans="1:6" ht="15.6" x14ac:dyDescent="0.3">
      <c r="A102" s="45"/>
      <c r="B102" s="46" t="s">
        <v>8</v>
      </c>
      <c r="C102" s="46">
        <v>0.31827</v>
      </c>
      <c r="D102" s="45"/>
      <c r="E102" s="46" t="s">
        <v>8</v>
      </c>
      <c r="F102" s="46">
        <v>3.1710000000000002E-2</v>
      </c>
    </row>
    <row r="103" spans="1:6" ht="15.6" x14ac:dyDescent="0.3">
      <c r="A103" s="45"/>
      <c r="B103" s="46"/>
      <c r="C103" s="46">
        <v>5.2949999999999997E-2</v>
      </c>
      <c r="D103" s="45"/>
      <c r="E103" s="46"/>
      <c r="F103" s="47">
        <v>5.7150547500000003E-3</v>
      </c>
    </row>
    <row r="104" spans="1:6" ht="15.6" x14ac:dyDescent="0.3">
      <c r="A104" s="45"/>
      <c r="B104" s="46"/>
      <c r="C104" s="46">
        <v>6.7070000000000005E-2</v>
      </c>
      <c r="D104" s="45"/>
      <c r="E104" s="46"/>
      <c r="F104" s="47">
        <v>6.4385635000000002E-3</v>
      </c>
    </row>
    <row r="105" spans="1:6" ht="15.6" x14ac:dyDescent="0.3">
      <c r="A105" s="45"/>
      <c r="B105" s="46" t="s">
        <v>9</v>
      </c>
      <c r="C105" s="46">
        <v>1.6650000000000002E-2</v>
      </c>
      <c r="D105" s="45"/>
      <c r="E105" s="46" t="s">
        <v>9</v>
      </c>
      <c r="F105" s="47">
        <v>4.6565056899999999E-3</v>
      </c>
    </row>
    <row r="106" spans="1:6" ht="15.6" x14ac:dyDescent="0.3">
      <c r="A106" s="45"/>
      <c r="B106" s="46" t="s">
        <v>10</v>
      </c>
      <c r="C106" s="46">
        <v>1.2869999999999999</v>
      </c>
      <c r="D106" s="45"/>
      <c r="E106" s="46" t="s">
        <v>10</v>
      </c>
      <c r="F106" s="46">
        <v>9.0969999999999995E-2</v>
      </c>
    </row>
    <row r="107" spans="1:6" ht="15.6" x14ac:dyDescent="0.3">
      <c r="A107" s="45"/>
      <c r="B107" s="46" t="s">
        <v>11</v>
      </c>
      <c r="C107" s="46">
        <v>0.24482999999999999</v>
      </c>
      <c r="D107" s="45"/>
      <c r="E107" s="46" t="s">
        <v>11</v>
      </c>
      <c r="F107" s="46">
        <v>1.866E-2</v>
      </c>
    </row>
    <row r="108" spans="1:6" ht="15.6" x14ac:dyDescent="0.3">
      <c r="A108" s="45"/>
      <c r="B108" s="46"/>
      <c r="C108" s="46">
        <v>0.14013999999999999</v>
      </c>
      <c r="D108" s="45"/>
      <c r="E108" s="46"/>
      <c r="F108" s="47">
        <v>7.5165722699999998E-3</v>
      </c>
    </row>
    <row r="109" spans="1:6" ht="15.6" x14ac:dyDescent="0.3">
      <c r="A109" s="45"/>
      <c r="B109" s="46"/>
      <c r="C109" s="46">
        <v>0.23507</v>
      </c>
      <c r="D109" s="45"/>
      <c r="E109" s="46"/>
      <c r="F109" s="46">
        <v>1.9550000000000001E-2</v>
      </c>
    </row>
    <row r="110" spans="1:6" ht="15.6" x14ac:dyDescent="0.3">
      <c r="A110" s="45"/>
      <c r="B110" s="46" t="s">
        <v>12</v>
      </c>
      <c r="C110" s="46">
        <v>0.12156</v>
      </c>
      <c r="D110" s="45"/>
      <c r="E110" s="46" t="s">
        <v>12</v>
      </c>
      <c r="F110" s="46">
        <v>1.3299999999999999E-2</v>
      </c>
    </row>
    <row r="111" spans="1:6" ht="15.6" x14ac:dyDescent="0.3">
      <c r="A111" s="45"/>
      <c r="B111" s="46"/>
      <c r="C111" s="46">
        <v>0.36101</v>
      </c>
      <c r="D111" s="45"/>
      <c r="E111" s="46"/>
      <c r="F111" s="46">
        <v>2.903E-2</v>
      </c>
    </row>
    <row r="112" spans="1:6" ht="15.6" x14ac:dyDescent="0.3">
      <c r="A112" s="45"/>
      <c r="B112" s="46"/>
      <c r="C112" s="46">
        <v>0.12953000000000001</v>
      </c>
      <c r="D112" s="45"/>
      <c r="E112" s="46"/>
      <c r="F112" s="46">
        <v>3.0360000000000002E-2</v>
      </c>
    </row>
    <row r="113" spans="1:6" ht="15.6" x14ac:dyDescent="0.3">
      <c r="A113" s="45"/>
      <c r="B113" s="46"/>
      <c r="C113" s="46">
        <v>4.2270000000000002E-2</v>
      </c>
      <c r="D113" s="45"/>
      <c r="E113" s="46"/>
      <c r="F113" s="47">
        <v>2.9347984500000001E-3</v>
      </c>
    </row>
    <row r="114" spans="1:6" ht="15.6" x14ac:dyDescent="0.3">
      <c r="A114" s="45">
        <v>10</v>
      </c>
      <c r="B114" s="46" t="s">
        <v>7</v>
      </c>
      <c r="C114" s="46">
        <v>0.14113999999999999</v>
      </c>
      <c r="D114" s="45">
        <v>34</v>
      </c>
      <c r="E114" s="46" t="s">
        <v>7</v>
      </c>
      <c r="F114" s="46">
        <v>4.8140000000000002E-2</v>
      </c>
    </row>
    <row r="115" spans="1:6" ht="15.6" x14ac:dyDescent="0.3">
      <c r="A115" s="45"/>
      <c r="B115" s="46"/>
      <c r="C115" s="46">
        <v>8.3470000000000003E-2</v>
      </c>
      <c r="D115" s="45"/>
      <c r="E115" s="46"/>
      <c r="F115" s="46">
        <v>2.9829999999999999E-2</v>
      </c>
    </row>
    <row r="116" spans="1:6" ht="15.6" x14ac:dyDescent="0.3">
      <c r="A116" s="45"/>
      <c r="B116" s="46" t="s">
        <v>8</v>
      </c>
      <c r="C116" s="46">
        <v>9.8519999999999996E-2</v>
      </c>
      <c r="D116" s="45"/>
      <c r="E116" s="46" t="s">
        <v>8</v>
      </c>
      <c r="F116" s="46">
        <v>3.2489999999999998E-2</v>
      </c>
    </row>
    <row r="117" spans="1:6" ht="15.6" x14ac:dyDescent="0.3">
      <c r="A117" s="45"/>
      <c r="B117" s="46"/>
      <c r="C117" s="46">
        <v>1.5939999999999999E-2</v>
      </c>
      <c r="D117" s="45"/>
      <c r="E117" s="46"/>
      <c r="F117" s="47">
        <v>4.5264568000000002E-3</v>
      </c>
    </row>
    <row r="118" spans="1:6" ht="15.6" x14ac:dyDescent="0.3">
      <c r="A118" s="45"/>
      <c r="B118" s="46"/>
      <c r="C118" s="46">
        <v>1.9060000000000001E-2</v>
      </c>
      <c r="D118" s="45"/>
      <c r="E118" s="46"/>
      <c r="F118" s="47">
        <v>7.2695336999999997E-3</v>
      </c>
    </row>
    <row r="119" spans="1:6" ht="15.6" x14ac:dyDescent="0.3">
      <c r="A119" s="45"/>
      <c r="B119" s="46" t="s">
        <v>9</v>
      </c>
      <c r="C119" s="46">
        <v>1.009E-2</v>
      </c>
      <c r="D119" s="45"/>
      <c r="E119" s="46" t="s">
        <v>9</v>
      </c>
      <c r="F119" s="47">
        <v>7.4526816400000001E-3</v>
      </c>
    </row>
    <row r="120" spans="1:6" ht="15.6" x14ac:dyDescent="0.3">
      <c r="A120" s="45"/>
      <c r="B120" s="46" t="s">
        <v>10</v>
      </c>
      <c r="C120" s="46">
        <v>0.37373000000000001</v>
      </c>
      <c r="D120" s="45"/>
      <c r="E120" s="46" t="s">
        <v>10</v>
      </c>
      <c r="F120" s="46">
        <v>0.11865000000000001</v>
      </c>
    </row>
    <row r="121" spans="1:6" ht="15.6" x14ac:dyDescent="0.3">
      <c r="A121" s="45"/>
      <c r="B121" s="46" t="s">
        <v>11</v>
      </c>
      <c r="C121" s="46">
        <v>6.7080000000000001E-2</v>
      </c>
      <c r="D121" s="45"/>
      <c r="E121" s="46" t="s">
        <v>11</v>
      </c>
      <c r="F121" s="46">
        <v>2.239E-2</v>
      </c>
    </row>
    <row r="122" spans="1:6" ht="15.6" x14ac:dyDescent="0.3">
      <c r="A122" s="45"/>
      <c r="B122" s="46"/>
      <c r="C122" s="46">
        <v>3.934E-2</v>
      </c>
      <c r="D122" s="45"/>
      <c r="E122" s="46"/>
      <c r="F122" s="46">
        <v>1.0120000000000001E-2</v>
      </c>
    </row>
    <row r="123" spans="1:6" ht="15.6" x14ac:dyDescent="0.3">
      <c r="A123" s="45"/>
      <c r="B123" s="46"/>
      <c r="C123" s="46">
        <v>7.1940000000000004E-2</v>
      </c>
      <c r="D123" s="45"/>
      <c r="E123" s="46"/>
      <c r="F123" s="46">
        <v>2.0809999999999999E-2</v>
      </c>
    </row>
    <row r="124" spans="1:6" ht="15.6" x14ac:dyDescent="0.3">
      <c r="A124" s="45"/>
      <c r="B124" s="46" t="s">
        <v>12</v>
      </c>
      <c r="C124" s="46">
        <v>3.875E-2</v>
      </c>
      <c r="D124" s="45"/>
      <c r="E124" s="46" t="s">
        <v>12</v>
      </c>
      <c r="F124" s="46">
        <v>1.4749999999999999E-2</v>
      </c>
    </row>
    <row r="125" spans="1:6" ht="15.6" x14ac:dyDescent="0.3">
      <c r="A125" s="45"/>
      <c r="B125" s="46"/>
      <c r="C125" s="46">
        <v>0.10879</v>
      </c>
      <c r="D125" s="45"/>
      <c r="E125" s="46"/>
      <c r="F125" s="46">
        <v>2.9069999999999999E-2</v>
      </c>
    </row>
    <row r="126" spans="1:6" ht="15.6" x14ac:dyDescent="0.3">
      <c r="A126" s="45"/>
      <c r="B126" s="46"/>
      <c r="C126" s="46">
        <v>4.8669999999999998E-2</v>
      </c>
      <c r="D126" s="45"/>
      <c r="E126" s="46"/>
      <c r="F126" s="46">
        <v>3.0460000000000001E-2</v>
      </c>
    </row>
    <row r="127" spans="1:6" ht="15.6" x14ac:dyDescent="0.3">
      <c r="A127" s="45"/>
      <c r="B127" s="46"/>
      <c r="C127" s="46">
        <v>1.1639999999999999E-2</v>
      </c>
      <c r="D127" s="45"/>
      <c r="E127" s="46"/>
      <c r="F127" s="47">
        <v>3.3232732600000001E-3</v>
      </c>
    </row>
    <row r="128" spans="1:6" ht="15.6" x14ac:dyDescent="0.3">
      <c r="A128" s="45">
        <v>12</v>
      </c>
      <c r="B128" s="46" t="s">
        <v>7</v>
      </c>
      <c r="C128" s="46">
        <v>9.1910000000000006E-2</v>
      </c>
      <c r="D128" s="45">
        <v>36</v>
      </c>
      <c r="E128" s="46" t="s">
        <v>7</v>
      </c>
      <c r="F128" s="46">
        <v>0.97270000000000001</v>
      </c>
    </row>
    <row r="129" spans="1:6" ht="15.6" x14ac:dyDescent="0.3">
      <c r="A129" s="45"/>
      <c r="B129" s="46"/>
      <c r="C129" s="46">
        <v>5.3449999999999998E-2</v>
      </c>
      <c r="D129" s="45"/>
      <c r="E129" s="46"/>
      <c r="F129" s="46">
        <v>0.57691000000000003</v>
      </c>
    </row>
    <row r="130" spans="1:6" ht="15.6" x14ac:dyDescent="0.3">
      <c r="A130" s="45"/>
      <c r="B130" s="46" t="s">
        <v>8</v>
      </c>
      <c r="C130" s="46">
        <v>6.59E-2</v>
      </c>
      <c r="D130" s="45"/>
      <c r="E130" s="46" t="s">
        <v>8</v>
      </c>
      <c r="F130" s="46">
        <v>0.69674999999999998</v>
      </c>
    </row>
    <row r="131" spans="1:6" ht="15.6" x14ac:dyDescent="0.3">
      <c r="A131" s="45"/>
      <c r="B131" s="46"/>
      <c r="C131" s="46">
        <v>1.052E-2</v>
      </c>
      <c r="D131" s="45"/>
      <c r="E131" s="46"/>
      <c r="F131" s="46">
        <v>0.10156</v>
      </c>
    </row>
    <row r="132" spans="1:6" ht="15.6" x14ac:dyDescent="0.3">
      <c r="A132" s="45"/>
      <c r="B132" s="46"/>
      <c r="C132" s="46">
        <v>1.345E-2</v>
      </c>
      <c r="D132" s="45"/>
      <c r="E132" s="46"/>
      <c r="F132" s="46">
        <v>0.13891000000000001</v>
      </c>
    </row>
    <row r="133" spans="1:6" ht="15.6" x14ac:dyDescent="0.3">
      <c r="A133" s="45"/>
      <c r="B133" s="46" t="s">
        <v>9</v>
      </c>
      <c r="C133" s="46">
        <v>1.2840000000000001E-2</v>
      </c>
      <c r="D133" s="45"/>
      <c r="E133" s="46" t="s">
        <v>9</v>
      </c>
      <c r="F133" s="47">
        <v>8.5293204999999997E-3</v>
      </c>
    </row>
    <row r="134" spans="1:6" ht="15.6" x14ac:dyDescent="0.3">
      <c r="A134" s="45"/>
      <c r="B134" s="46" t="s">
        <v>10</v>
      </c>
      <c r="C134" s="46">
        <v>0.23974999999999999</v>
      </c>
      <c r="D134" s="45"/>
      <c r="E134" s="46" t="s">
        <v>10</v>
      </c>
      <c r="F134" s="46">
        <v>1.66917</v>
      </c>
    </row>
    <row r="135" spans="1:6" ht="15.6" x14ac:dyDescent="0.3">
      <c r="A135" s="45"/>
      <c r="B135" s="46" t="s">
        <v>11</v>
      </c>
      <c r="C135" s="46">
        <v>4.8189999999999997E-2</v>
      </c>
      <c r="D135" s="45"/>
      <c r="E135" s="46" t="s">
        <v>11</v>
      </c>
      <c r="F135" s="46">
        <v>0.31236000000000003</v>
      </c>
    </row>
    <row r="136" spans="1:6" ht="15.6" x14ac:dyDescent="0.3">
      <c r="A136" s="45"/>
      <c r="B136" s="46"/>
      <c r="C136" s="46">
        <v>1.9449999999999999E-2</v>
      </c>
      <c r="D136" s="45"/>
      <c r="E136" s="46"/>
      <c r="F136" s="46">
        <v>0.18181</v>
      </c>
    </row>
    <row r="137" spans="1:6" ht="15.6" x14ac:dyDescent="0.3">
      <c r="A137" s="45"/>
      <c r="B137" s="46"/>
      <c r="C137" s="46">
        <v>4.4159999999999998E-2</v>
      </c>
      <c r="D137" s="45"/>
      <c r="E137" s="46"/>
      <c r="F137" s="46">
        <v>0.31696999999999997</v>
      </c>
    </row>
    <row r="138" spans="1:6" ht="15.6" x14ac:dyDescent="0.3">
      <c r="A138" s="45"/>
      <c r="B138" s="46" t="s">
        <v>12</v>
      </c>
      <c r="C138" s="46">
        <v>2.5909999999999999E-2</v>
      </c>
      <c r="D138" s="45"/>
      <c r="E138" s="46" t="s">
        <v>12</v>
      </c>
      <c r="F138" s="46">
        <v>0.15751000000000001</v>
      </c>
    </row>
    <row r="139" spans="1:6" ht="15.6" x14ac:dyDescent="0.3">
      <c r="A139" s="45"/>
      <c r="B139" s="46"/>
      <c r="C139" s="46">
        <v>6.8940000000000001E-2</v>
      </c>
      <c r="D139" s="45"/>
      <c r="E139" s="46"/>
      <c r="F139" s="46">
        <v>0.4854</v>
      </c>
    </row>
    <row r="140" spans="1:6" ht="15.6" x14ac:dyDescent="0.3">
      <c r="A140" s="45"/>
      <c r="B140" s="46"/>
      <c r="C140" s="46">
        <v>3.7909999999999999E-2</v>
      </c>
      <c r="D140" s="45"/>
      <c r="E140" s="46"/>
      <c r="F140" s="46">
        <v>0.16642999999999999</v>
      </c>
    </row>
    <row r="141" spans="1:6" ht="15.6" x14ac:dyDescent="0.3">
      <c r="A141" s="45"/>
      <c r="B141" s="46"/>
      <c r="C141" s="47">
        <v>7.19762695E-3</v>
      </c>
      <c r="D141" s="45"/>
      <c r="E141" s="46"/>
      <c r="F141" s="46">
        <v>5.2929999999999998E-2</v>
      </c>
    </row>
    <row r="142" spans="1:6" ht="15.6" x14ac:dyDescent="0.3">
      <c r="A142" s="45">
        <v>13</v>
      </c>
      <c r="B142" s="46" t="s">
        <v>7</v>
      </c>
      <c r="C142" s="46">
        <v>0.21238000000000001</v>
      </c>
      <c r="D142" s="45">
        <v>37</v>
      </c>
      <c r="E142" s="46" t="s">
        <v>7</v>
      </c>
      <c r="F142" s="46">
        <v>3.2606299999999999</v>
      </c>
    </row>
    <row r="143" spans="1:6" ht="15.6" x14ac:dyDescent="0.3">
      <c r="A143" s="45"/>
      <c r="B143" s="46"/>
      <c r="C143" s="46">
        <v>0.12179</v>
      </c>
      <c r="D143" s="45"/>
      <c r="E143" s="46"/>
      <c r="F143" s="46">
        <v>1.91998</v>
      </c>
    </row>
    <row r="144" spans="1:6" ht="15.6" x14ac:dyDescent="0.3">
      <c r="A144" s="45"/>
      <c r="B144" s="46" t="s">
        <v>8</v>
      </c>
      <c r="C144" s="46">
        <v>0.14463000000000001</v>
      </c>
      <c r="D144" s="45"/>
      <c r="E144" s="46" t="s">
        <v>8</v>
      </c>
      <c r="F144" s="46">
        <v>2.2785199999999999</v>
      </c>
    </row>
    <row r="145" spans="1:6" ht="15.6" x14ac:dyDescent="0.3">
      <c r="A145" s="45"/>
      <c r="B145" s="46"/>
      <c r="C145" s="46">
        <v>2.0060000000000001E-2</v>
      </c>
      <c r="D145" s="45"/>
      <c r="E145" s="46"/>
      <c r="F145" s="46">
        <v>0.35510999999999998</v>
      </c>
    </row>
    <row r="146" spans="1:6" ht="15.6" x14ac:dyDescent="0.3">
      <c r="A146" s="45"/>
      <c r="B146" s="46"/>
      <c r="C146" s="46">
        <v>2.9700000000000001E-2</v>
      </c>
      <c r="D146" s="45"/>
      <c r="E146" s="46"/>
      <c r="F146" s="46">
        <v>0.46309</v>
      </c>
    </row>
    <row r="147" spans="1:6" ht="15.6" x14ac:dyDescent="0.3">
      <c r="A147" s="45"/>
      <c r="B147" s="46" t="s">
        <v>9</v>
      </c>
      <c r="C147" s="46">
        <v>1.3939999999999999E-2</v>
      </c>
      <c r="D147" s="45"/>
      <c r="E147" s="46" t="s">
        <v>9</v>
      </c>
      <c r="F147" s="46">
        <v>3.5299999999999998E-2</v>
      </c>
    </row>
    <row r="148" spans="1:6" ht="15.6" x14ac:dyDescent="0.3">
      <c r="A148" s="45"/>
      <c r="B148" s="46" t="s">
        <v>10</v>
      </c>
      <c r="C148" s="46">
        <v>0.47843000000000002</v>
      </c>
      <c r="D148" s="45"/>
      <c r="E148" s="46" t="s">
        <v>10</v>
      </c>
      <c r="F148" s="46">
        <v>6.2031200000000002</v>
      </c>
    </row>
    <row r="149" spans="1:6" ht="15.6" x14ac:dyDescent="0.3">
      <c r="A149" s="45"/>
      <c r="B149" s="46" t="s">
        <v>11</v>
      </c>
      <c r="C149" s="46">
        <v>8.337E-2</v>
      </c>
      <c r="D149" s="45"/>
      <c r="E149" s="46" t="s">
        <v>11</v>
      </c>
      <c r="F149" s="46">
        <v>1.15089</v>
      </c>
    </row>
    <row r="150" spans="1:6" ht="15.6" x14ac:dyDescent="0.3">
      <c r="A150" s="45"/>
      <c r="B150" s="46"/>
      <c r="C150" s="46">
        <v>5.178E-2</v>
      </c>
      <c r="D150" s="45"/>
      <c r="E150" s="46"/>
      <c r="F150" s="46">
        <v>0.66501999999999994</v>
      </c>
    </row>
    <row r="151" spans="1:6" ht="15.6" x14ac:dyDescent="0.3">
      <c r="A151" s="45"/>
      <c r="B151" s="46"/>
      <c r="C151" s="46">
        <v>8.7249999999999994E-2</v>
      </c>
      <c r="D151" s="45"/>
      <c r="E151" s="46"/>
      <c r="F151" s="46">
        <v>1.1526799999999999</v>
      </c>
    </row>
    <row r="152" spans="1:6" ht="15.6" x14ac:dyDescent="0.3">
      <c r="A152" s="45"/>
      <c r="B152" s="46" t="s">
        <v>12</v>
      </c>
      <c r="C152" s="46">
        <v>4.8430000000000001E-2</v>
      </c>
      <c r="D152" s="45"/>
      <c r="E152" s="46" t="s">
        <v>12</v>
      </c>
      <c r="F152" s="46">
        <v>0.58709999999999996</v>
      </c>
    </row>
    <row r="153" spans="1:6" ht="15.6" x14ac:dyDescent="0.3">
      <c r="A153" s="45"/>
      <c r="B153" s="46"/>
      <c r="C153" s="46">
        <v>0.13305</v>
      </c>
      <c r="D153" s="45"/>
      <c r="E153" s="46"/>
      <c r="F153" s="46">
        <v>1.7882499999999999</v>
      </c>
    </row>
    <row r="154" spans="1:6" ht="15.6" x14ac:dyDescent="0.3">
      <c r="A154" s="45"/>
      <c r="B154" s="46"/>
      <c r="C154" s="46">
        <v>6.2619999999999995E-2</v>
      </c>
      <c r="D154" s="45"/>
      <c r="E154" s="46"/>
      <c r="F154" s="46">
        <v>0.56976000000000004</v>
      </c>
    </row>
    <row r="155" spans="1:6" ht="15.6" x14ac:dyDescent="0.3">
      <c r="A155" s="45"/>
      <c r="B155" s="46"/>
      <c r="C155" s="46">
        <v>1.439E-2</v>
      </c>
      <c r="D155" s="45"/>
      <c r="E155" s="46"/>
      <c r="F155" s="46">
        <v>0.19975999999999999</v>
      </c>
    </row>
    <row r="156" spans="1:6" ht="15.6" x14ac:dyDescent="0.3">
      <c r="A156" s="45">
        <v>14</v>
      </c>
      <c r="B156" s="46" t="s">
        <v>7</v>
      </c>
      <c r="C156" s="46">
        <v>0.14998</v>
      </c>
      <c r="D156" s="45">
        <v>38</v>
      </c>
      <c r="E156" s="46" t="s">
        <v>7</v>
      </c>
      <c r="F156" s="46">
        <v>1.1753</v>
      </c>
    </row>
    <row r="157" spans="1:6" ht="15.6" x14ac:dyDescent="0.3">
      <c r="A157" s="45"/>
      <c r="B157" s="46"/>
      <c r="C157" s="46">
        <v>8.7660000000000002E-2</v>
      </c>
      <c r="D157" s="45"/>
      <c r="E157" s="46"/>
      <c r="F157" s="46">
        <v>0.69269000000000003</v>
      </c>
    </row>
    <row r="158" spans="1:6" ht="15.6" x14ac:dyDescent="0.3">
      <c r="A158" s="45"/>
      <c r="B158" s="46" t="s">
        <v>8</v>
      </c>
      <c r="C158" s="46">
        <v>0.10538</v>
      </c>
      <c r="D158" s="45"/>
      <c r="E158" s="46" t="s">
        <v>8</v>
      </c>
      <c r="F158" s="46">
        <v>0.81860999999999995</v>
      </c>
    </row>
    <row r="159" spans="1:6" ht="15.6" x14ac:dyDescent="0.3">
      <c r="A159" s="45"/>
      <c r="B159" s="46"/>
      <c r="C159" s="46">
        <v>1.6660000000000001E-2</v>
      </c>
      <c r="D159" s="45"/>
      <c r="E159" s="46"/>
      <c r="F159" s="46">
        <v>0.23547000000000001</v>
      </c>
    </row>
    <row r="160" spans="1:6" ht="15.6" x14ac:dyDescent="0.3">
      <c r="A160" s="45"/>
      <c r="B160" s="46"/>
      <c r="C160" s="46">
        <v>2.0570000000000001E-2</v>
      </c>
      <c r="D160" s="45"/>
      <c r="E160" s="46"/>
      <c r="F160" s="46">
        <v>0.17161999999999999</v>
      </c>
    </row>
    <row r="161" spans="1:6" ht="15.6" x14ac:dyDescent="0.3">
      <c r="A161" s="45"/>
      <c r="B161" s="46" t="s">
        <v>9</v>
      </c>
      <c r="C161" s="47">
        <v>8.6172507000000006E-3</v>
      </c>
      <c r="D161" s="45"/>
      <c r="E161" s="46" t="s">
        <v>9</v>
      </c>
      <c r="F161" s="46">
        <v>4.6440000000000002E-2</v>
      </c>
    </row>
    <row r="162" spans="1:6" ht="15.6" x14ac:dyDescent="0.3">
      <c r="A162" s="45"/>
      <c r="B162" s="46" t="s">
        <v>10</v>
      </c>
      <c r="C162" s="46">
        <v>0.33084999999999998</v>
      </c>
      <c r="D162" s="45"/>
      <c r="E162" s="46" t="s">
        <v>10</v>
      </c>
      <c r="F162" s="46">
        <v>2.5087999999999999</v>
      </c>
    </row>
    <row r="163" spans="1:6" ht="15.6" x14ac:dyDescent="0.3">
      <c r="A163" s="45"/>
      <c r="B163" s="46" t="s">
        <v>11</v>
      </c>
      <c r="C163" s="46">
        <v>6.3729999999999995E-2</v>
      </c>
      <c r="D163" s="45"/>
      <c r="E163" s="46" t="s">
        <v>11</v>
      </c>
      <c r="F163" s="46">
        <v>0.47437000000000001</v>
      </c>
    </row>
    <row r="164" spans="1:6" ht="15.6" x14ac:dyDescent="0.3">
      <c r="A164" s="45"/>
      <c r="B164" s="46"/>
      <c r="C164" s="46">
        <v>3.4470000000000001E-2</v>
      </c>
      <c r="D164" s="45"/>
      <c r="E164" s="46"/>
      <c r="F164" s="46">
        <v>0.27714</v>
      </c>
    </row>
    <row r="165" spans="1:6" ht="15.6" x14ac:dyDescent="0.3">
      <c r="A165" s="45"/>
      <c r="B165" s="46"/>
      <c r="C165" s="46">
        <v>5.9709999999999999E-2</v>
      </c>
      <c r="D165" s="45"/>
      <c r="E165" s="46"/>
      <c r="F165" s="46">
        <v>0.48300999999999999</v>
      </c>
    </row>
    <row r="166" spans="1:6" ht="15.6" x14ac:dyDescent="0.3">
      <c r="A166" s="45"/>
      <c r="B166" s="46" t="s">
        <v>12</v>
      </c>
      <c r="C166" s="46">
        <v>3.6650000000000002E-2</v>
      </c>
      <c r="D166" s="45"/>
      <c r="E166" s="46" t="s">
        <v>12</v>
      </c>
      <c r="F166" s="46">
        <v>0.23547000000000001</v>
      </c>
    </row>
    <row r="167" spans="1:6" ht="15.6" x14ac:dyDescent="0.3">
      <c r="A167" s="45"/>
      <c r="B167" s="46"/>
      <c r="C167" s="46">
        <v>9.7339999999999996E-2</v>
      </c>
      <c r="D167" s="45"/>
      <c r="E167" s="46"/>
      <c r="F167" s="46">
        <v>0.71806999999999999</v>
      </c>
    </row>
    <row r="168" spans="1:6" ht="15.6" x14ac:dyDescent="0.3">
      <c r="A168" s="45"/>
      <c r="B168" s="46"/>
      <c r="C168" s="46">
        <v>4.9770000000000002E-2</v>
      </c>
      <c r="D168" s="45"/>
      <c r="E168" s="46"/>
      <c r="F168" s="46">
        <v>0.23882999999999999</v>
      </c>
    </row>
    <row r="169" spans="1:6" ht="15.6" x14ac:dyDescent="0.3">
      <c r="A169" s="45"/>
      <c r="B169" s="46"/>
      <c r="C169" s="46">
        <v>1.217E-2</v>
      </c>
      <c r="D169" s="45"/>
      <c r="E169" s="46"/>
      <c r="F169" s="46">
        <v>8.3799999999999999E-2</v>
      </c>
    </row>
    <row r="170" spans="1:6" ht="15.6" x14ac:dyDescent="0.3">
      <c r="A170" s="45">
        <v>15</v>
      </c>
      <c r="B170" s="46" t="s">
        <v>7</v>
      </c>
      <c r="C170" s="46">
        <v>0.17501</v>
      </c>
      <c r="D170" s="45">
        <v>39</v>
      </c>
      <c r="E170" s="46" t="s">
        <v>7</v>
      </c>
      <c r="F170" s="46">
        <v>0.71184000000000003</v>
      </c>
    </row>
    <row r="171" spans="1:6" ht="15.6" x14ac:dyDescent="0.3">
      <c r="A171" s="45"/>
      <c r="B171" s="46"/>
      <c r="C171" s="46">
        <v>0.10199</v>
      </c>
      <c r="D171" s="45"/>
      <c r="E171" s="46"/>
      <c r="F171" s="46">
        <v>0.41313</v>
      </c>
    </row>
    <row r="172" spans="1:6" ht="15.6" x14ac:dyDescent="0.3">
      <c r="A172" s="45"/>
      <c r="B172" s="46" t="s">
        <v>8</v>
      </c>
      <c r="C172" s="46">
        <v>0.12770000000000001</v>
      </c>
      <c r="D172" s="45"/>
      <c r="E172" s="46" t="s">
        <v>8</v>
      </c>
      <c r="F172" s="46">
        <v>0.49719000000000002</v>
      </c>
    </row>
    <row r="173" spans="1:6" ht="15.6" x14ac:dyDescent="0.3">
      <c r="A173" s="45"/>
      <c r="B173" s="46"/>
      <c r="C173" s="46">
        <v>1.7850000000000001E-2</v>
      </c>
      <c r="D173" s="45"/>
      <c r="E173" s="46"/>
      <c r="F173" s="46">
        <v>7.6560000000000003E-2</v>
      </c>
    </row>
    <row r="174" spans="1:6" ht="15.6" x14ac:dyDescent="0.3">
      <c r="A174" s="45"/>
      <c r="B174" s="46"/>
      <c r="C174" s="46">
        <v>2.4680000000000001E-2</v>
      </c>
      <c r="D174" s="45"/>
      <c r="E174" s="46"/>
      <c r="F174" s="46">
        <v>9.3439999999999995E-2</v>
      </c>
    </row>
    <row r="175" spans="1:6" ht="15.6" x14ac:dyDescent="0.3">
      <c r="A175" s="45"/>
      <c r="B175" s="46" t="s">
        <v>9</v>
      </c>
      <c r="C175" s="47">
        <v>3.1482319700000001E-3</v>
      </c>
      <c r="D175" s="45"/>
      <c r="E175" s="46" t="s">
        <v>9</v>
      </c>
      <c r="F175" s="46">
        <v>3.1759999999999997E-2</v>
      </c>
    </row>
    <row r="176" spans="1:6" ht="15.6" x14ac:dyDescent="0.3">
      <c r="A176" s="45"/>
      <c r="B176" s="46" t="s">
        <v>10</v>
      </c>
      <c r="C176" s="46">
        <v>0.42560999999999999</v>
      </c>
      <c r="D176" s="45"/>
      <c r="E176" s="46" t="s">
        <v>10</v>
      </c>
      <c r="F176" s="46">
        <v>2.4985200000000001</v>
      </c>
    </row>
    <row r="177" spans="1:6" ht="15.6" x14ac:dyDescent="0.3">
      <c r="A177" s="45"/>
      <c r="B177" s="46" t="s">
        <v>11</v>
      </c>
      <c r="C177" s="46">
        <v>9.2730000000000007E-2</v>
      </c>
      <c r="D177" s="45"/>
      <c r="E177" s="46" t="s">
        <v>11</v>
      </c>
      <c r="F177" s="46">
        <v>0.41253000000000001</v>
      </c>
    </row>
    <row r="178" spans="1:6" ht="15.6" x14ac:dyDescent="0.3">
      <c r="A178" s="45"/>
      <c r="B178" s="46"/>
      <c r="C178" s="46">
        <v>3.5680000000000003E-2</v>
      </c>
      <c r="D178" s="45"/>
      <c r="E178" s="46"/>
      <c r="F178" s="46">
        <v>0.23554</v>
      </c>
    </row>
    <row r="179" spans="1:6" ht="15.6" x14ac:dyDescent="0.3">
      <c r="A179" s="45"/>
      <c r="B179" s="46"/>
      <c r="C179" s="46">
        <v>8.7179999999999994E-2</v>
      </c>
      <c r="D179" s="45"/>
      <c r="E179" s="46"/>
      <c r="F179" s="46">
        <v>0.42020999999999997</v>
      </c>
    </row>
    <row r="180" spans="1:6" ht="15.6" x14ac:dyDescent="0.3">
      <c r="A180" s="45"/>
      <c r="B180" s="46" t="s">
        <v>12</v>
      </c>
      <c r="C180" s="46">
        <v>4.9189999999999998E-2</v>
      </c>
      <c r="D180" s="45"/>
      <c r="E180" s="46" t="s">
        <v>12</v>
      </c>
      <c r="F180" s="46">
        <v>0.20305000000000001</v>
      </c>
    </row>
    <row r="181" spans="1:6" ht="15.6" x14ac:dyDescent="0.3">
      <c r="A181" s="45"/>
      <c r="B181" s="46"/>
      <c r="C181" s="46">
        <v>0.14252999999999999</v>
      </c>
      <c r="D181" s="45"/>
      <c r="E181" s="46"/>
      <c r="F181" s="46">
        <v>0.64509000000000005</v>
      </c>
    </row>
    <row r="182" spans="1:6" ht="15.6" x14ac:dyDescent="0.3">
      <c r="A182" s="45"/>
      <c r="B182" s="46"/>
      <c r="C182" s="46">
        <v>6.3490000000000005E-2</v>
      </c>
      <c r="D182" s="45"/>
      <c r="E182" s="46"/>
      <c r="F182" s="46">
        <v>0.21481</v>
      </c>
    </row>
    <row r="183" spans="1:6" ht="15.6" x14ac:dyDescent="0.3">
      <c r="A183" s="45"/>
      <c r="B183" s="46"/>
      <c r="C183" s="46">
        <v>1.5859999999999999E-2</v>
      </c>
      <c r="D183" s="45"/>
      <c r="E183" s="46"/>
      <c r="F183" s="46">
        <v>7.0809999999999998E-2</v>
      </c>
    </row>
    <row r="184" spans="1:6" ht="15.6" x14ac:dyDescent="0.3">
      <c r="A184" s="45">
        <v>16</v>
      </c>
      <c r="B184" s="46" t="s">
        <v>7</v>
      </c>
      <c r="C184" s="46">
        <v>8.9080000000000006E-2</v>
      </c>
      <c r="D184" s="45">
        <v>40</v>
      </c>
      <c r="E184" s="46" t="s">
        <v>7</v>
      </c>
      <c r="F184" s="46">
        <v>0.39842</v>
      </c>
    </row>
    <row r="185" spans="1:6" ht="15.6" x14ac:dyDescent="0.3">
      <c r="A185" s="45"/>
      <c r="B185" s="46"/>
      <c r="C185" s="46">
        <v>5.5109999999999999E-2</v>
      </c>
      <c r="D185" s="45"/>
      <c r="E185" s="46"/>
      <c r="F185" s="46">
        <v>0.2392</v>
      </c>
    </row>
    <row r="186" spans="1:6" ht="15.6" x14ac:dyDescent="0.3">
      <c r="A186" s="45"/>
      <c r="B186" s="46" t="s">
        <v>8</v>
      </c>
      <c r="C186" s="46">
        <v>6.132E-2</v>
      </c>
      <c r="D186" s="45"/>
      <c r="E186" s="46" t="s">
        <v>8</v>
      </c>
      <c r="F186" s="46">
        <v>0.27850000000000003</v>
      </c>
    </row>
    <row r="187" spans="1:6" ht="15.6" x14ac:dyDescent="0.3">
      <c r="A187" s="45"/>
      <c r="B187" s="46"/>
      <c r="C187" s="46">
        <v>1.055E-2</v>
      </c>
      <c r="D187" s="45"/>
      <c r="E187" s="46"/>
      <c r="F187" s="46">
        <v>3.9669999999999997E-2</v>
      </c>
    </row>
    <row r="188" spans="1:6" ht="15.6" x14ac:dyDescent="0.3">
      <c r="A188" s="45"/>
      <c r="B188" s="46"/>
      <c r="C188" s="46">
        <v>1.2200000000000001E-2</v>
      </c>
      <c r="D188" s="45"/>
      <c r="E188" s="46"/>
      <c r="F188" s="46">
        <v>5.3719999999999997E-2</v>
      </c>
    </row>
    <row r="189" spans="1:6" ht="15.6" x14ac:dyDescent="0.3">
      <c r="A189" s="45"/>
      <c r="B189" s="46" t="s">
        <v>9</v>
      </c>
      <c r="C189" s="47">
        <v>6.18397033E-3</v>
      </c>
      <c r="D189" s="45"/>
      <c r="E189" s="46" t="s">
        <v>9</v>
      </c>
      <c r="F189" s="46">
        <v>2.9929999999999998E-2</v>
      </c>
    </row>
    <row r="190" spans="1:6" ht="15.6" x14ac:dyDescent="0.3">
      <c r="A190" s="45"/>
      <c r="B190" s="46" t="s">
        <v>10</v>
      </c>
      <c r="C190" s="46">
        <v>0.17946000000000001</v>
      </c>
      <c r="D190" s="45"/>
      <c r="E190" s="46" t="s">
        <v>10</v>
      </c>
      <c r="F190" s="46">
        <v>1.1232800000000001</v>
      </c>
    </row>
    <row r="191" spans="1:6" ht="15.6" x14ac:dyDescent="0.3">
      <c r="A191" s="45"/>
      <c r="B191" s="46" t="s">
        <v>11</v>
      </c>
      <c r="C191" s="46">
        <v>3.3410000000000002E-2</v>
      </c>
      <c r="D191" s="45"/>
      <c r="E191" s="46" t="s">
        <v>11</v>
      </c>
      <c r="F191" s="46">
        <v>0.23102</v>
      </c>
    </row>
    <row r="192" spans="1:6" ht="15.6" x14ac:dyDescent="0.3">
      <c r="A192" s="45"/>
      <c r="B192" s="46"/>
      <c r="C192" s="46">
        <v>1.3520000000000001E-2</v>
      </c>
      <c r="D192" s="45"/>
      <c r="E192" s="46"/>
      <c r="F192" s="46">
        <v>0.13419</v>
      </c>
    </row>
    <row r="193" spans="1:6" ht="15.6" x14ac:dyDescent="0.3">
      <c r="A193" s="45"/>
      <c r="B193" s="46"/>
      <c r="C193" s="46">
        <v>2.9590000000000002E-2</v>
      </c>
      <c r="D193" s="45"/>
      <c r="E193" s="46"/>
      <c r="F193" s="46">
        <v>0.24865000000000001</v>
      </c>
    </row>
    <row r="194" spans="1:6" ht="15.6" x14ac:dyDescent="0.3">
      <c r="A194" s="45"/>
      <c r="B194" s="46" t="s">
        <v>12</v>
      </c>
      <c r="C194" s="46"/>
      <c r="D194" s="45"/>
      <c r="E194" s="46" t="s">
        <v>12</v>
      </c>
      <c r="F194" s="46">
        <v>0.11408</v>
      </c>
    </row>
    <row r="195" spans="1:6" ht="15.6" x14ac:dyDescent="0.3">
      <c r="A195" s="45"/>
      <c r="B195" s="46"/>
      <c r="C195" s="46">
        <v>5.364E-2</v>
      </c>
      <c r="D195" s="45"/>
      <c r="E195" s="46"/>
      <c r="F195" s="46">
        <v>0.36353000000000002</v>
      </c>
    </row>
    <row r="196" spans="1:6" ht="15.6" x14ac:dyDescent="0.3">
      <c r="A196" s="45"/>
      <c r="B196" s="46"/>
      <c r="C196" s="46">
        <v>3.406E-2</v>
      </c>
      <c r="D196" s="45"/>
      <c r="E196" s="46"/>
      <c r="F196" s="46">
        <v>0.12726000000000001</v>
      </c>
    </row>
    <row r="197" spans="1:6" ht="15.6" x14ac:dyDescent="0.3">
      <c r="A197" s="45"/>
      <c r="B197" s="46"/>
      <c r="C197" s="47">
        <v>4.8646067899999999E-3</v>
      </c>
      <c r="D197" s="45"/>
      <c r="E197" s="46"/>
      <c r="F197" s="46">
        <v>4.0570000000000002E-2</v>
      </c>
    </row>
    <row r="198" spans="1:6" ht="15.6" x14ac:dyDescent="0.3">
      <c r="A198" s="45">
        <v>18</v>
      </c>
      <c r="B198" s="46" t="s">
        <v>7</v>
      </c>
      <c r="C198" s="46">
        <v>0.15054000000000001</v>
      </c>
      <c r="D198" s="45">
        <v>42</v>
      </c>
      <c r="E198" s="46" t="s">
        <v>7</v>
      </c>
      <c r="F198" s="46">
        <v>2.1950000000000001E-2</v>
      </c>
    </row>
    <row r="199" spans="1:6" ht="15.6" x14ac:dyDescent="0.3">
      <c r="A199" s="45"/>
      <c r="B199" s="46"/>
      <c r="C199" s="46">
        <v>8.2780000000000006E-2</v>
      </c>
      <c r="D199" s="45"/>
      <c r="E199" s="46"/>
      <c r="F199" s="46">
        <v>1.49E-2</v>
      </c>
    </row>
    <row r="200" spans="1:6" ht="15.6" x14ac:dyDescent="0.3">
      <c r="A200" s="45"/>
      <c r="B200" s="46" t="s">
        <v>8</v>
      </c>
      <c r="C200" s="46">
        <v>0.10206</v>
      </c>
      <c r="D200" s="45"/>
      <c r="E200" s="46" t="s">
        <v>8</v>
      </c>
      <c r="F200" s="46">
        <v>1.7829999999999999E-2</v>
      </c>
    </row>
    <row r="201" spans="1:6" ht="15.6" x14ac:dyDescent="0.3">
      <c r="A201" s="45"/>
      <c r="B201" s="46"/>
      <c r="C201" s="46">
        <v>1.636E-2</v>
      </c>
      <c r="D201" s="45"/>
      <c r="E201" s="46"/>
      <c r="F201" s="47">
        <v>1.90830605E-3</v>
      </c>
    </row>
    <row r="202" spans="1:6" ht="15.6" x14ac:dyDescent="0.3">
      <c r="A202" s="45"/>
      <c r="B202" s="46"/>
      <c r="C202" s="46">
        <v>2.0889999999999999E-2</v>
      </c>
      <c r="D202" s="45"/>
      <c r="E202" s="46"/>
      <c r="F202" s="47">
        <v>2.58269194E-3</v>
      </c>
    </row>
    <row r="203" spans="1:6" ht="15.6" x14ac:dyDescent="0.3">
      <c r="A203" s="45"/>
      <c r="B203" s="46" t="s">
        <v>9</v>
      </c>
      <c r="C203" s="46">
        <v>2.0830000000000001E-2</v>
      </c>
      <c r="D203" s="45"/>
      <c r="E203" s="46" t="s">
        <v>9</v>
      </c>
      <c r="F203" s="47">
        <v>6.7985768E-3</v>
      </c>
    </row>
    <row r="204" spans="1:6" ht="15.6" x14ac:dyDescent="0.3">
      <c r="A204" s="45"/>
      <c r="B204" s="46" t="s">
        <v>10</v>
      </c>
      <c r="C204" s="46">
        <v>0.47765999999999997</v>
      </c>
      <c r="D204" s="45"/>
      <c r="E204" s="46" t="s">
        <v>10</v>
      </c>
      <c r="F204" s="46">
        <v>4.648E-2</v>
      </c>
    </row>
    <row r="205" spans="1:6" ht="15.6" x14ac:dyDescent="0.3">
      <c r="A205" s="45"/>
      <c r="B205" s="46" t="s">
        <v>11</v>
      </c>
      <c r="C205" s="46">
        <v>8.5730000000000001E-2</v>
      </c>
      <c r="D205" s="45"/>
      <c r="E205" s="46" t="s">
        <v>11</v>
      </c>
      <c r="F205" s="47">
        <v>9.8420512999999998E-3</v>
      </c>
    </row>
    <row r="206" spans="1:6" ht="15.6" x14ac:dyDescent="0.3">
      <c r="A206" s="45"/>
      <c r="B206" s="46"/>
      <c r="C206" s="46">
        <v>4.7320000000000001E-2</v>
      </c>
      <c r="D206" s="45"/>
      <c r="E206" s="46"/>
      <c r="F206" s="47">
        <v>4.9681381299999999E-3</v>
      </c>
    </row>
    <row r="207" spans="1:6" ht="15.6" x14ac:dyDescent="0.3">
      <c r="A207" s="45"/>
      <c r="B207" s="46"/>
      <c r="C207" s="46">
        <v>8.1869999999999998E-2</v>
      </c>
      <c r="D207" s="45"/>
      <c r="E207" s="46"/>
      <c r="F207" s="47">
        <v>8.3709786200000004E-3</v>
      </c>
    </row>
    <row r="208" spans="1:6" ht="15.6" x14ac:dyDescent="0.3">
      <c r="A208" s="45"/>
      <c r="B208" s="46" t="s">
        <v>12</v>
      </c>
      <c r="C208" s="46"/>
      <c r="D208" s="45"/>
      <c r="E208" s="46" t="s">
        <v>12</v>
      </c>
      <c r="F208" s="47">
        <v>7.7533393400000001E-3</v>
      </c>
    </row>
    <row r="209" spans="1:6" ht="15.6" x14ac:dyDescent="0.3">
      <c r="A209" s="45"/>
      <c r="B209" s="46"/>
      <c r="C209" s="46">
        <v>0.13012000000000001</v>
      </c>
      <c r="D209" s="45"/>
      <c r="E209" s="46"/>
      <c r="F209" s="46">
        <v>1.584E-2</v>
      </c>
    </row>
    <row r="210" spans="1:6" ht="15.6" x14ac:dyDescent="0.3">
      <c r="A210" s="45"/>
      <c r="B210" s="46"/>
      <c r="C210" s="46">
        <v>6.0999999999999999E-2</v>
      </c>
      <c r="D210" s="45"/>
      <c r="E210" s="46"/>
      <c r="F210" s="46">
        <v>2.6960000000000001E-2</v>
      </c>
    </row>
    <row r="211" spans="1:6" ht="15.6" x14ac:dyDescent="0.3">
      <c r="A211" s="45"/>
      <c r="B211" s="46"/>
      <c r="C211" s="46">
        <v>1.3809999999999999E-2</v>
      </c>
      <c r="D211" s="45"/>
      <c r="E211" s="46"/>
      <c r="F211" s="47"/>
    </row>
    <row r="212" spans="1:6" ht="15.6" x14ac:dyDescent="0.3">
      <c r="A212" s="45">
        <v>19</v>
      </c>
      <c r="B212" s="46" t="s">
        <v>7</v>
      </c>
      <c r="C212" s="46">
        <v>0.28172999999999998</v>
      </c>
      <c r="D212" s="45">
        <v>43</v>
      </c>
      <c r="E212" s="46" t="s">
        <v>7</v>
      </c>
      <c r="F212" s="46">
        <v>5.1819999999999998E-2</v>
      </c>
    </row>
    <row r="213" spans="1:6" ht="15.6" x14ac:dyDescent="0.3">
      <c r="A213" s="45"/>
      <c r="B213" s="46"/>
      <c r="C213" s="46">
        <v>0.16786999999999999</v>
      </c>
      <c r="D213" s="45"/>
      <c r="E213" s="46"/>
      <c r="F213" s="46">
        <v>3.3239999999999999E-2</v>
      </c>
    </row>
    <row r="214" spans="1:6" ht="15.6" x14ac:dyDescent="0.3">
      <c r="A214" s="45"/>
      <c r="B214" s="46" t="s">
        <v>8</v>
      </c>
      <c r="C214" s="46">
        <v>0.19653000000000001</v>
      </c>
      <c r="D214" s="45"/>
      <c r="E214" s="46" t="s">
        <v>8</v>
      </c>
      <c r="F214" s="46">
        <v>3.7260000000000001E-2</v>
      </c>
    </row>
    <row r="215" spans="1:6" ht="15.6" x14ac:dyDescent="0.3">
      <c r="A215" s="45"/>
      <c r="B215" s="46"/>
      <c r="C215" s="46"/>
      <c r="D215" s="45"/>
      <c r="E215" s="46"/>
      <c r="F215" s="47">
        <v>5.4487603799999998E-3</v>
      </c>
    </row>
    <row r="216" spans="1:6" ht="15.6" x14ac:dyDescent="0.3">
      <c r="A216" s="45"/>
      <c r="B216" s="46"/>
      <c r="C216" s="46">
        <v>3.9010000000000003E-2</v>
      </c>
      <c r="D216" s="45"/>
      <c r="E216" s="46"/>
      <c r="F216" s="47">
        <v>3.5154031400000002E-3</v>
      </c>
    </row>
    <row r="217" spans="1:6" ht="15.6" x14ac:dyDescent="0.3">
      <c r="A217" s="45"/>
      <c r="B217" s="46" t="s">
        <v>9</v>
      </c>
      <c r="C217" s="46">
        <v>1.6500000000000001E-2</v>
      </c>
      <c r="D217" s="45"/>
      <c r="E217" s="46" t="s">
        <v>9</v>
      </c>
      <c r="F217" s="46">
        <v>1.035E-2</v>
      </c>
    </row>
    <row r="218" spans="1:6" ht="15.6" x14ac:dyDescent="0.3">
      <c r="A218" s="45"/>
      <c r="B218" s="46" t="s">
        <v>10</v>
      </c>
      <c r="C218" s="46">
        <v>1.05124</v>
      </c>
      <c r="D218" s="45"/>
      <c r="E218" s="46" t="s">
        <v>10</v>
      </c>
      <c r="F218" s="46">
        <v>0.11065999999999999</v>
      </c>
    </row>
    <row r="219" spans="1:6" ht="15.6" x14ac:dyDescent="0.3">
      <c r="A219" s="45"/>
      <c r="B219" s="46" t="s">
        <v>11</v>
      </c>
      <c r="C219" s="46">
        <v>0.18976999999999999</v>
      </c>
      <c r="D219" s="45"/>
      <c r="E219" s="46" t="s">
        <v>11</v>
      </c>
      <c r="F219" s="46">
        <v>2.444E-2</v>
      </c>
    </row>
    <row r="220" spans="1:6" ht="15.6" x14ac:dyDescent="0.3">
      <c r="A220" s="45"/>
      <c r="B220" s="46"/>
      <c r="C220" s="46">
        <v>0.11061</v>
      </c>
      <c r="D220" s="45"/>
      <c r="E220" s="46"/>
      <c r="F220" s="46">
        <v>1.354E-2</v>
      </c>
    </row>
    <row r="221" spans="1:6" ht="15.6" x14ac:dyDescent="0.3">
      <c r="A221" s="45"/>
      <c r="B221" s="46"/>
      <c r="C221" s="46">
        <v>0.18970000000000001</v>
      </c>
      <c r="D221" s="45"/>
      <c r="E221" s="46"/>
      <c r="F221" s="46">
        <v>2.2110000000000001E-2</v>
      </c>
    </row>
    <row r="222" spans="1:6" ht="15.6" x14ac:dyDescent="0.3">
      <c r="A222" s="45"/>
      <c r="B222" s="46" t="s">
        <v>12</v>
      </c>
      <c r="C222" s="46"/>
      <c r="D222" s="45"/>
      <c r="E222" s="46" t="s">
        <v>12</v>
      </c>
      <c r="F222" s="47">
        <v>4.9222755599999998E-3</v>
      </c>
    </row>
    <row r="223" spans="1:6" ht="15.6" x14ac:dyDescent="0.3">
      <c r="A223" s="45"/>
      <c r="B223" s="46"/>
      <c r="C223" s="46">
        <v>0.29579</v>
      </c>
      <c r="D223" s="45"/>
      <c r="E223" s="46"/>
      <c r="F223" s="46">
        <v>3.5700000000000003E-2</v>
      </c>
    </row>
    <row r="224" spans="1:6" ht="15.6" x14ac:dyDescent="0.3">
      <c r="A224" s="45"/>
      <c r="B224" s="46"/>
      <c r="C224" s="46">
        <v>0.11395</v>
      </c>
      <c r="D224" s="45"/>
      <c r="E224" s="46"/>
      <c r="F224" s="46">
        <v>2.9239999999999999E-2</v>
      </c>
    </row>
    <row r="225" spans="1:6" ht="15.6" x14ac:dyDescent="0.3">
      <c r="A225" s="45"/>
      <c r="B225" s="46"/>
      <c r="C225" s="46">
        <v>3.1309999999999998E-2</v>
      </c>
      <c r="D225" s="45"/>
      <c r="E225" s="46"/>
      <c r="F225" s="47"/>
    </row>
    <row r="226" spans="1:6" ht="15.6" x14ac:dyDescent="0.3">
      <c r="A226" s="45">
        <v>20</v>
      </c>
      <c r="B226" s="46" t="s">
        <v>7</v>
      </c>
      <c r="C226" s="46">
        <v>0.13000999999999999</v>
      </c>
      <c r="D226" s="45">
        <v>44</v>
      </c>
      <c r="E226" s="46" t="s">
        <v>7</v>
      </c>
      <c r="F226" s="46">
        <v>6.6589999999999996E-2</v>
      </c>
    </row>
    <row r="227" spans="1:6" ht="15.6" x14ac:dyDescent="0.3">
      <c r="A227" s="45"/>
      <c r="B227" s="46"/>
      <c r="C227" s="46">
        <v>7.9460000000000003E-2</v>
      </c>
      <c r="D227" s="45"/>
      <c r="E227" s="46"/>
      <c r="F227" s="46">
        <v>3.9550000000000002E-2</v>
      </c>
    </row>
    <row r="228" spans="1:6" ht="15.6" x14ac:dyDescent="0.3">
      <c r="A228" s="45"/>
      <c r="B228" s="46" t="s">
        <v>8</v>
      </c>
      <c r="C228" s="46">
        <v>9.3380000000000005E-2</v>
      </c>
      <c r="D228" s="45"/>
      <c r="E228" s="46" t="s">
        <v>8</v>
      </c>
      <c r="F228" s="46">
        <v>4.7309999999999998E-2</v>
      </c>
    </row>
    <row r="229" spans="1:6" ht="15.6" x14ac:dyDescent="0.3">
      <c r="A229" s="45"/>
      <c r="B229" s="46"/>
      <c r="C229" s="46">
        <v>1.4749999999999999E-2</v>
      </c>
      <c r="D229" s="45"/>
      <c r="E229" s="46"/>
      <c r="F229" s="47">
        <v>2.28049099E-3</v>
      </c>
    </row>
    <row r="230" spans="1:6" ht="15.6" x14ac:dyDescent="0.3">
      <c r="A230" s="45"/>
      <c r="B230" s="46"/>
      <c r="C230" s="46">
        <v>1.721E-2</v>
      </c>
      <c r="D230" s="45"/>
      <c r="E230" s="46"/>
      <c r="F230" s="47">
        <v>8.3386475899999996E-3</v>
      </c>
    </row>
    <row r="231" spans="1:6" ht="15.6" x14ac:dyDescent="0.3">
      <c r="A231" s="45"/>
      <c r="B231" s="46" t="s">
        <v>9</v>
      </c>
      <c r="C231" s="47">
        <v>9.49191284E-3</v>
      </c>
      <c r="D231" s="45"/>
      <c r="E231" s="46" t="s">
        <v>9</v>
      </c>
      <c r="F231" s="46">
        <v>1.796E-2</v>
      </c>
    </row>
    <row r="232" spans="1:6" ht="15.6" x14ac:dyDescent="0.3">
      <c r="A232" s="45"/>
      <c r="B232" s="46" t="s">
        <v>10</v>
      </c>
      <c r="C232" s="46">
        <v>0.42687000000000003</v>
      </c>
      <c r="D232" s="45"/>
      <c r="E232" s="46" t="s">
        <v>10</v>
      </c>
      <c r="F232" s="46">
        <v>0.15770000000000001</v>
      </c>
    </row>
    <row r="233" spans="1:6" ht="15.6" x14ac:dyDescent="0.3">
      <c r="A233" s="45"/>
      <c r="B233" s="46" t="s">
        <v>11</v>
      </c>
      <c r="C233" s="46">
        <v>7.5020000000000003E-2</v>
      </c>
      <c r="D233" s="45"/>
      <c r="E233" s="46" t="s">
        <v>11</v>
      </c>
      <c r="F233" s="46">
        <v>3.3009999999999998E-2</v>
      </c>
    </row>
    <row r="234" spans="1:6" ht="15.6" x14ac:dyDescent="0.3">
      <c r="A234" s="45"/>
      <c r="B234" s="46"/>
      <c r="C234" s="46">
        <v>4.367E-2</v>
      </c>
      <c r="D234" s="45"/>
      <c r="E234" s="46"/>
      <c r="F234" s="46">
        <v>1.6459999999999999E-2</v>
      </c>
    </row>
    <row r="235" spans="1:6" ht="15.6" x14ac:dyDescent="0.3">
      <c r="A235" s="45"/>
      <c r="B235" s="46"/>
      <c r="C235" s="46">
        <v>7.6660000000000006E-2</v>
      </c>
      <c r="D235" s="45"/>
      <c r="E235" s="46"/>
      <c r="F235" s="46">
        <v>3.526E-2</v>
      </c>
    </row>
    <row r="236" spans="1:6" ht="15.6" x14ac:dyDescent="0.3">
      <c r="A236" s="45"/>
      <c r="B236" s="46" t="s">
        <v>12</v>
      </c>
      <c r="C236" s="46">
        <v>4.3700000000000003E-2</v>
      </c>
      <c r="D236" s="45"/>
      <c r="E236" s="46" t="s">
        <v>12</v>
      </c>
      <c r="F236" s="47">
        <v>7.2193552000000003E-3</v>
      </c>
    </row>
    <row r="237" spans="1:6" ht="15.6" x14ac:dyDescent="0.3">
      <c r="A237" s="45"/>
      <c r="B237" s="46"/>
      <c r="C237" s="46">
        <v>0.11695</v>
      </c>
      <c r="D237" s="45"/>
      <c r="E237" s="46"/>
      <c r="F237" s="46">
        <v>5.3900000000000003E-2</v>
      </c>
    </row>
    <row r="238" spans="1:6" ht="15.6" x14ac:dyDescent="0.3">
      <c r="A238" s="45"/>
      <c r="B238" s="46"/>
      <c r="C238" s="46">
        <v>5.9040000000000002E-2</v>
      </c>
      <c r="D238" s="45"/>
      <c r="E238" s="46"/>
      <c r="F238" s="46">
        <v>3.5139999999999998E-2</v>
      </c>
    </row>
    <row r="239" spans="1:6" ht="15.6" x14ac:dyDescent="0.3">
      <c r="A239" s="45"/>
      <c r="B239" s="46"/>
      <c r="C239" s="46">
        <v>1.2710000000000001E-2</v>
      </c>
      <c r="D239" s="45"/>
      <c r="E239" s="46"/>
      <c r="F239" s="47">
        <v>5.7516875299999997E-3</v>
      </c>
    </row>
    <row r="240" spans="1:6" ht="15.6" x14ac:dyDescent="0.3">
      <c r="A240" s="45">
        <v>21</v>
      </c>
      <c r="B240" s="46" t="s">
        <v>7</v>
      </c>
      <c r="C240" s="46">
        <v>2.6600100000000002</v>
      </c>
      <c r="D240" s="45">
        <v>45</v>
      </c>
      <c r="E240" s="46" t="s">
        <v>7</v>
      </c>
      <c r="F240" s="46">
        <v>0.33435999999999999</v>
      </c>
    </row>
    <row r="241" spans="1:6" ht="15.6" x14ac:dyDescent="0.3">
      <c r="A241" s="45"/>
      <c r="B241" s="46"/>
      <c r="C241" s="46">
        <v>1.56043</v>
      </c>
      <c r="D241" s="45"/>
      <c r="E241" s="46"/>
      <c r="F241" s="46">
        <v>0.19383</v>
      </c>
    </row>
    <row r="242" spans="1:6" ht="15.6" x14ac:dyDescent="0.3">
      <c r="A242" s="45"/>
      <c r="B242" s="46" t="s">
        <v>8</v>
      </c>
      <c r="C242" s="46">
        <v>1.9222699999999999</v>
      </c>
      <c r="D242" s="45"/>
      <c r="E242" s="46" t="s">
        <v>8</v>
      </c>
      <c r="F242" s="46">
        <v>0.22724</v>
      </c>
    </row>
    <row r="243" spans="1:6" ht="15.6" x14ac:dyDescent="0.3">
      <c r="A243" s="45"/>
      <c r="B243" s="46"/>
      <c r="C243" s="46">
        <v>0.30471999999999999</v>
      </c>
      <c r="D243" s="45"/>
      <c r="E243" s="46"/>
      <c r="F243" s="46">
        <v>3.4360000000000002E-2</v>
      </c>
    </row>
    <row r="244" spans="1:6" ht="15.6" x14ac:dyDescent="0.3">
      <c r="A244" s="45"/>
      <c r="B244" s="46"/>
      <c r="C244" s="46">
        <v>0.39689000000000002</v>
      </c>
      <c r="D244" s="45"/>
      <c r="E244" s="46"/>
      <c r="F244" s="46">
        <v>4.5760000000000002E-2</v>
      </c>
    </row>
    <row r="245" spans="1:6" ht="15.6" x14ac:dyDescent="0.3">
      <c r="A245" s="45"/>
      <c r="B245" s="46" t="s">
        <v>9</v>
      </c>
      <c r="C245" s="46">
        <v>4.061E-2</v>
      </c>
      <c r="D245" s="45"/>
      <c r="E245" s="46" t="s">
        <v>9</v>
      </c>
      <c r="F245" s="46">
        <v>3.8850000000000003E-2</v>
      </c>
    </row>
    <row r="246" spans="1:6" ht="15.6" x14ac:dyDescent="0.3">
      <c r="A246" s="45"/>
      <c r="B246" s="46" t="s">
        <v>10</v>
      </c>
      <c r="C246" s="46">
        <v>7.4075899999999999</v>
      </c>
      <c r="D246" s="45"/>
      <c r="E246" s="46" t="s">
        <v>10</v>
      </c>
      <c r="F246" s="46">
        <v>0.89522000000000002</v>
      </c>
    </row>
    <row r="247" spans="1:6" ht="15.6" x14ac:dyDescent="0.3">
      <c r="A247" s="45"/>
      <c r="B247" s="46" t="s">
        <v>11</v>
      </c>
      <c r="C247" s="46">
        <v>1.75589</v>
      </c>
      <c r="D247" s="45"/>
      <c r="E247" s="46" t="s">
        <v>11</v>
      </c>
      <c r="F247" s="46">
        <v>0.16536000000000001</v>
      </c>
    </row>
    <row r="248" spans="1:6" ht="15.6" x14ac:dyDescent="0.3">
      <c r="A248" s="45"/>
      <c r="B248" s="46"/>
      <c r="C248" s="46">
        <v>1.00444</v>
      </c>
      <c r="D248" s="45"/>
      <c r="E248" s="46"/>
      <c r="F248" s="46">
        <v>9.7619999999999998E-2</v>
      </c>
    </row>
    <row r="249" spans="1:6" ht="15.6" x14ac:dyDescent="0.3">
      <c r="A249" s="45"/>
      <c r="B249" s="46"/>
      <c r="C249" s="46">
        <v>1.7119899999999999</v>
      </c>
      <c r="D249" s="45"/>
      <c r="E249" s="46"/>
      <c r="F249" s="46">
        <v>0.16536000000000001</v>
      </c>
    </row>
    <row r="250" spans="1:6" ht="15.6" x14ac:dyDescent="0.3">
      <c r="A250" s="45"/>
      <c r="B250" s="46" t="s">
        <v>12</v>
      </c>
      <c r="C250" s="46">
        <v>0.89807000000000003</v>
      </c>
      <c r="D250" s="45"/>
      <c r="E250" s="46" t="s">
        <v>12</v>
      </c>
      <c r="F250" s="46">
        <v>8.6019999999999999E-2</v>
      </c>
    </row>
    <row r="251" spans="1:6" ht="15.6" x14ac:dyDescent="0.3">
      <c r="A251" s="45"/>
      <c r="B251" s="46"/>
      <c r="C251" s="46">
        <v>2.6323400000000001</v>
      </c>
      <c r="D251" s="45"/>
      <c r="E251" s="46"/>
      <c r="F251" s="46">
        <v>0.25302999999999998</v>
      </c>
    </row>
    <row r="252" spans="1:6" ht="15.6" x14ac:dyDescent="0.3">
      <c r="A252" s="45"/>
      <c r="B252" s="46"/>
      <c r="C252" s="46">
        <v>0.85465000000000002</v>
      </c>
      <c r="D252" s="45"/>
      <c r="E252" s="46"/>
      <c r="F252" s="46">
        <v>9.5280000000000004E-2</v>
      </c>
    </row>
    <row r="253" spans="1:6" ht="15.6" x14ac:dyDescent="0.3">
      <c r="A253" s="45"/>
      <c r="B253" s="46"/>
      <c r="C253" s="46">
        <v>0.30096000000000001</v>
      </c>
      <c r="D253" s="45"/>
      <c r="E253" s="46"/>
      <c r="F253" s="46">
        <v>2.9049999999999999E-2</v>
      </c>
    </row>
    <row r="254" spans="1:6" ht="15.6" x14ac:dyDescent="0.3">
      <c r="A254" s="45">
        <v>22</v>
      </c>
      <c r="B254" s="46" t="s">
        <v>7</v>
      </c>
      <c r="C254" s="46">
        <v>3.1896800000000001</v>
      </c>
      <c r="D254" s="45">
        <v>46</v>
      </c>
      <c r="E254" s="46" t="s">
        <v>7</v>
      </c>
      <c r="F254" s="46">
        <v>0.13285</v>
      </c>
    </row>
    <row r="255" spans="1:6" ht="15.6" x14ac:dyDescent="0.3">
      <c r="A255" s="45"/>
      <c r="B255" s="46"/>
      <c r="C255" s="46">
        <v>1.8618699999999999</v>
      </c>
      <c r="D255" s="45"/>
      <c r="E255" s="46"/>
      <c r="F255" s="46">
        <v>7.8189999999999996E-2</v>
      </c>
    </row>
    <row r="256" spans="1:6" ht="15.6" x14ac:dyDescent="0.3">
      <c r="A256" s="45"/>
      <c r="B256" s="46" t="s">
        <v>8</v>
      </c>
      <c r="C256" s="46">
        <v>2.3043499999999999</v>
      </c>
      <c r="D256" s="45"/>
      <c r="E256" s="46" t="s">
        <v>8</v>
      </c>
      <c r="F256" s="46">
        <v>9.6119999999999997E-2</v>
      </c>
    </row>
    <row r="257" spans="1:6" ht="15.6" x14ac:dyDescent="0.3">
      <c r="A257" s="45"/>
      <c r="B257" s="46"/>
      <c r="C257" s="46">
        <v>0.36520999999999998</v>
      </c>
      <c r="D257" s="45"/>
      <c r="E257" s="46"/>
      <c r="F257" s="46">
        <v>1.342E-2</v>
      </c>
    </row>
    <row r="258" spans="1:6" ht="15.6" x14ac:dyDescent="0.3">
      <c r="A258" s="45"/>
      <c r="B258" s="46"/>
      <c r="C258" s="46">
        <v>0.48204999999999998</v>
      </c>
      <c r="D258" s="45"/>
      <c r="E258" s="46"/>
      <c r="F258" s="46">
        <v>1.8280000000000001E-2</v>
      </c>
    </row>
    <row r="259" spans="1:6" ht="15.6" x14ac:dyDescent="0.3">
      <c r="A259" s="45"/>
      <c r="B259" s="46" t="s">
        <v>9</v>
      </c>
      <c r="C259" s="46">
        <v>3.2439999999999997E-2</v>
      </c>
      <c r="D259" s="45"/>
      <c r="E259" s="46" t="s">
        <v>9</v>
      </c>
      <c r="F259" s="46">
        <v>2.699E-2</v>
      </c>
    </row>
    <row r="260" spans="1:6" ht="15.6" x14ac:dyDescent="0.3">
      <c r="A260" s="45"/>
      <c r="B260" s="46" t="s">
        <v>10</v>
      </c>
      <c r="C260" s="46">
        <v>9.5065600000000003</v>
      </c>
      <c r="D260" s="45"/>
      <c r="E260" s="46" t="s">
        <v>10</v>
      </c>
      <c r="F260" s="46">
        <v>0.29037000000000002</v>
      </c>
    </row>
    <row r="261" spans="1:6" ht="15.6" x14ac:dyDescent="0.3">
      <c r="A261" s="45"/>
      <c r="B261" s="46" t="s">
        <v>11</v>
      </c>
      <c r="C261" s="46">
        <v>1.97001</v>
      </c>
      <c r="D261" s="45"/>
      <c r="E261" s="46" t="s">
        <v>11</v>
      </c>
      <c r="F261" s="46">
        <v>5.595E-2</v>
      </c>
    </row>
    <row r="262" spans="1:6" ht="15.6" x14ac:dyDescent="0.3">
      <c r="A262" s="45"/>
      <c r="B262" s="46"/>
      <c r="C262" s="46">
        <v>1.15151</v>
      </c>
      <c r="D262" s="45"/>
      <c r="E262" s="46"/>
      <c r="F262" s="46">
        <v>3.1280000000000002E-2</v>
      </c>
    </row>
    <row r="263" spans="1:6" ht="15.6" x14ac:dyDescent="0.3">
      <c r="A263" s="45"/>
      <c r="B263" s="46"/>
      <c r="C263" s="46">
        <v>1.88035</v>
      </c>
      <c r="D263" s="45"/>
      <c r="E263" s="46"/>
      <c r="F263" s="46">
        <v>6.1100000000000002E-2</v>
      </c>
    </row>
    <row r="264" spans="1:6" ht="15.6" x14ac:dyDescent="0.3">
      <c r="A264" s="45"/>
      <c r="B264" s="46" t="s">
        <v>12</v>
      </c>
      <c r="C264" s="46"/>
      <c r="D264" s="45"/>
      <c r="E264" s="46" t="s">
        <v>12</v>
      </c>
      <c r="F264" s="46">
        <v>2.8899999999999999E-2</v>
      </c>
    </row>
    <row r="265" spans="1:6" ht="15.6" x14ac:dyDescent="0.3">
      <c r="A265" s="45"/>
      <c r="B265" s="46"/>
      <c r="C265" s="46">
        <v>2.9296899999999999</v>
      </c>
      <c r="D265" s="45"/>
      <c r="E265" s="46"/>
      <c r="F265" s="46">
        <v>8.2960000000000006E-2</v>
      </c>
    </row>
    <row r="266" spans="1:6" ht="15.6" x14ac:dyDescent="0.3">
      <c r="A266" s="45"/>
      <c r="B266" s="46"/>
      <c r="C266" s="46">
        <v>0.95806000000000002</v>
      </c>
      <c r="D266" s="45"/>
      <c r="E266" s="46"/>
      <c r="F266" s="46">
        <v>4.5719999999999997E-2</v>
      </c>
    </row>
    <row r="267" spans="1:6" ht="15.6" x14ac:dyDescent="0.3">
      <c r="A267" s="45"/>
      <c r="B267" s="46"/>
      <c r="C267" s="46">
        <v>0.33964</v>
      </c>
      <c r="D267" s="45"/>
      <c r="E267" s="46"/>
      <c r="F267" s="47">
        <v>5.4005960199999996E-3</v>
      </c>
    </row>
    <row r="268" spans="1:6" ht="15.6" x14ac:dyDescent="0.3">
      <c r="A268" s="45">
        <v>24</v>
      </c>
      <c r="B268" s="46" t="s">
        <v>7</v>
      </c>
      <c r="C268" s="46">
        <v>1.92021</v>
      </c>
      <c r="D268" s="48"/>
      <c r="E268" s="48"/>
      <c r="F268" s="48"/>
    </row>
    <row r="269" spans="1:6" ht="15.6" x14ac:dyDescent="0.3">
      <c r="A269" s="45"/>
      <c r="B269" s="46"/>
      <c r="C269" s="46">
        <v>1.13591</v>
      </c>
      <c r="D269" s="48"/>
      <c r="E269" s="48"/>
      <c r="F269" s="48"/>
    </row>
    <row r="270" spans="1:6" ht="15.6" x14ac:dyDescent="0.3">
      <c r="A270" s="45"/>
      <c r="B270" s="46" t="s">
        <v>8</v>
      </c>
      <c r="C270" s="46">
        <v>1.3585700000000001</v>
      </c>
      <c r="D270" s="48"/>
      <c r="E270" s="48"/>
      <c r="F270" s="48"/>
    </row>
    <row r="271" spans="1:6" ht="15.6" x14ac:dyDescent="0.3">
      <c r="A271" s="45"/>
      <c r="B271" s="46"/>
      <c r="C271" s="46">
        <v>0.21110999999999999</v>
      </c>
      <c r="D271" s="48"/>
      <c r="E271" s="48"/>
      <c r="F271" s="48"/>
    </row>
    <row r="272" spans="1:6" ht="15.6" x14ac:dyDescent="0.3">
      <c r="A272" s="45"/>
      <c r="B272" s="46"/>
      <c r="C272" s="46">
        <v>0.27618999999999999</v>
      </c>
      <c r="D272" s="48"/>
      <c r="E272" s="48"/>
      <c r="F272" s="48"/>
    </row>
    <row r="273" spans="1:6" ht="15.6" x14ac:dyDescent="0.3">
      <c r="A273" s="45"/>
      <c r="B273" s="46" t="s">
        <v>9</v>
      </c>
      <c r="C273" s="46">
        <v>3.3950000000000001E-2</v>
      </c>
      <c r="D273" s="48"/>
      <c r="E273" s="48"/>
      <c r="F273" s="48"/>
    </row>
    <row r="274" spans="1:6" ht="15.6" x14ac:dyDescent="0.3">
      <c r="A274" s="45"/>
      <c r="B274" s="46" t="s">
        <v>10</v>
      </c>
      <c r="C274" s="46">
        <v>5.9152800000000001</v>
      </c>
      <c r="D274" s="48"/>
      <c r="E274" s="48"/>
      <c r="F274" s="48"/>
    </row>
    <row r="275" spans="1:6" ht="15.6" x14ac:dyDescent="0.3">
      <c r="A275" s="45"/>
      <c r="B275" s="46" t="s">
        <v>11</v>
      </c>
      <c r="C275" s="46">
        <v>1.13243</v>
      </c>
      <c r="D275" s="48"/>
      <c r="E275" s="48"/>
      <c r="F275" s="48"/>
    </row>
    <row r="276" spans="1:6" ht="15.6" x14ac:dyDescent="0.3">
      <c r="A276" s="45"/>
      <c r="B276" s="46"/>
      <c r="C276" s="46">
        <v>0.65405999999999997</v>
      </c>
      <c r="D276" s="48"/>
      <c r="E276" s="48"/>
      <c r="F276" s="48"/>
    </row>
    <row r="277" spans="1:6" ht="15.6" x14ac:dyDescent="0.3">
      <c r="A277" s="45"/>
      <c r="B277" s="46"/>
      <c r="C277" s="46">
        <v>1.14439</v>
      </c>
      <c r="D277" s="48"/>
      <c r="E277" s="48"/>
      <c r="F277" s="48"/>
    </row>
    <row r="278" spans="1:6" ht="15.6" x14ac:dyDescent="0.3">
      <c r="A278" s="45"/>
      <c r="B278" s="46" t="s">
        <v>12</v>
      </c>
      <c r="C278" s="46"/>
      <c r="D278" s="48"/>
      <c r="E278" s="48"/>
      <c r="F278" s="48"/>
    </row>
    <row r="279" spans="1:6" ht="15.6" x14ac:dyDescent="0.3">
      <c r="A279" s="45"/>
      <c r="B279" s="46"/>
      <c r="C279" s="46">
        <v>1.7278800000000001</v>
      </c>
      <c r="D279" s="48"/>
      <c r="E279" s="48"/>
      <c r="F279" s="48"/>
    </row>
    <row r="280" spans="1:6" ht="15.6" x14ac:dyDescent="0.3">
      <c r="A280" s="45"/>
      <c r="B280" s="46"/>
      <c r="C280" s="46">
        <v>0.54161000000000004</v>
      </c>
      <c r="D280" s="48"/>
      <c r="E280" s="48"/>
      <c r="F280" s="48"/>
    </row>
    <row r="281" spans="1:6" ht="15.6" x14ac:dyDescent="0.3">
      <c r="A281" s="45"/>
      <c r="B281" s="46"/>
      <c r="C281" s="46">
        <v>0.19968</v>
      </c>
      <c r="D281" s="48"/>
      <c r="E281" s="48"/>
      <c r="F281" s="48"/>
    </row>
    <row r="282" spans="1:6" ht="15.6" x14ac:dyDescent="0.3">
      <c r="A282" s="12"/>
      <c r="B282" s="41"/>
      <c r="C282" s="41"/>
    </row>
    <row r="283" spans="1:6" ht="15.6" x14ac:dyDescent="0.3">
      <c r="A283" s="12"/>
      <c r="B283" s="41"/>
      <c r="C283" s="41"/>
    </row>
    <row r="284" spans="1:6" ht="15.6" x14ac:dyDescent="0.3">
      <c r="A284" s="12"/>
      <c r="B284" s="41"/>
      <c r="C284" s="41"/>
    </row>
    <row r="285" spans="1:6" ht="15.6" x14ac:dyDescent="0.3">
      <c r="A285" s="12"/>
      <c r="B285" s="41"/>
      <c r="C285" s="42"/>
    </row>
    <row r="286" spans="1:6" ht="15.6" x14ac:dyDescent="0.3">
      <c r="A286" s="12"/>
      <c r="B286" s="41"/>
      <c r="C286" s="41"/>
    </row>
    <row r="287" spans="1:6" ht="15.6" x14ac:dyDescent="0.3">
      <c r="A287" s="12"/>
      <c r="B287" s="41"/>
      <c r="C287" s="41"/>
    </row>
    <row r="288" spans="1:6" ht="15.6" x14ac:dyDescent="0.3">
      <c r="A288" s="12"/>
      <c r="B288" s="41"/>
      <c r="C288" s="41"/>
    </row>
    <row r="289" spans="1:3" ht="15.6" x14ac:dyDescent="0.3">
      <c r="A289" s="12"/>
      <c r="B289" s="41"/>
      <c r="C289" s="41"/>
    </row>
    <row r="290" spans="1:3" ht="15.6" x14ac:dyDescent="0.3">
      <c r="A290" s="12"/>
      <c r="B290" s="41"/>
      <c r="C290" s="41"/>
    </row>
    <row r="291" spans="1:3" ht="15.6" x14ac:dyDescent="0.3">
      <c r="A291" s="12"/>
      <c r="B291" s="41"/>
      <c r="C291" s="41"/>
    </row>
    <row r="292" spans="1:3" ht="15.6" x14ac:dyDescent="0.3">
      <c r="A292" s="12"/>
      <c r="B292" s="41"/>
      <c r="C292" s="41"/>
    </row>
    <row r="293" spans="1:3" ht="15.6" x14ac:dyDescent="0.3">
      <c r="A293" s="12"/>
      <c r="B293" s="41"/>
      <c r="C293" s="41"/>
    </row>
    <row r="294" spans="1:3" ht="15.6" x14ac:dyDescent="0.3">
      <c r="A294" s="12"/>
      <c r="B294" s="41"/>
      <c r="C294" s="41"/>
    </row>
    <row r="295" spans="1:3" ht="15.6" x14ac:dyDescent="0.3">
      <c r="A295" s="12"/>
      <c r="B295" s="41"/>
      <c r="C295" s="41"/>
    </row>
    <row r="296" spans="1:3" ht="15.6" x14ac:dyDescent="0.3">
      <c r="A296" s="12"/>
      <c r="B296" s="41"/>
      <c r="C296" s="42"/>
    </row>
    <row r="297" spans="1:3" ht="15.6" x14ac:dyDescent="0.3">
      <c r="A297" s="12"/>
      <c r="B297" s="41"/>
      <c r="C297" s="41"/>
    </row>
    <row r="298" spans="1:3" ht="15.6" x14ac:dyDescent="0.3">
      <c r="A298" s="12"/>
      <c r="B298" s="41"/>
      <c r="C298" s="41"/>
    </row>
    <row r="299" spans="1:3" ht="15.6" x14ac:dyDescent="0.3">
      <c r="A299" s="12"/>
      <c r="B299" s="41"/>
      <c r="C299" s="41"/>
    </row>
    <row r="300" spans="1:3" ht="15.6" x14ac:dyDescent="0.3">
      <c r="A300" s="12"/>
      <c r="B300" s="41"/>
      <c r="C300" s="41"/>
    </row>
    <row r="301" spans="1:3" ht="15.6" x14ac:dyDescent="0.3">
      <c r="A301" s="12"/>
      <c r="B301" s="41"/>
      <c r="C301" s="41"/>
    </row>
    <row r="302" spans="1:3" ht="15.6" x14ac:dyDescent="0.3">
      <c r="A302" s="12"/>
      <c r="B302" s="41"/>
      <c r="C302" s="41"/>
    </row>
    <row r="303" spans="1:3" ht="15.6" x14ac:dyDescent="0.3">
      <c r="A303" s="12"/>
      <c r="B303" s="41"/>
      <c r="C303" s="41"/>
    </row>
    <row r="304" spans="1:3" ht="15.6" x14ac:dyDescent="0.3">
      <c r="A304" s="12"/>
      <c r="B304" s="41"/>
      <c r="C304" s="41"/>
    </row>
    <row r="305" spans="1:3" ht="15.6" x14ac:dyDescent="0.3">
      <c r="A305" s="12"/>
      <c r="B305" s="41"/>
      <c r="C305" s="41"/>
    </row>
    <row r="306" spans="1:3" ht="15.6" x14ac:dyDescent="0.3">
      <c r="A306" s="12"/>
      <c r="B306" s="41"/>
      <c r="C306" s="41"/>
    </row>
    <row r="307" spans="1:3" ht="15.6" x14ac:dyDescent="0.3">
      <c r="A307" s="12"/>
      <c r="B307" s="41"/>
      <c r="C307" s="41"/>
    </row>
    <row r="308" spans="1:3" ht="15.6" x14ac:dyDescent="0.3">
      <c r="A308" s="12"/>
      <c r="B308" s="41"/>
      <c r="C308" s="41"/>
    </row>
    <row r="309" spans="1:3" ht="15.6" x14ac:dyDescent="0.3">
      <c r="A309" s="12"/>
      <c r="B309" s="41"/>
      <c r="C309" s="41"/>
    </row>
    <row r="310" spans="1:3" ht="15.6" x14ac:dyDescent="0.3">
      <c r="A310" s="12"/>
      <c r="B310" s="41"/>
      <c r="C310" s="41"/>
    </row>
    <row r="311" spans="1:3" ht="15.6" x14ac:dyDescent="0.3">
      <c r="A311" s="12"/>
      <c r="B311" s="41"/>
      <c r="C311" s="41"/>
    </row>
    <row r="312" spans="1:3" ht="15.6" x14ac:dyDescent="0.3">
      <c r="A312" s="12"/>
      <c r="B312" s="41"/>
      <c r="C312" s="41"/>
    </row>
    <row r="313" spans="1:3" ht="15.6" x14ac:dyDescent="0.3">
      <c r="A313" s="12"/>
      <c r="B313" s="41"/>
      <c r="C313" s="41"/>
    </row>
    <row r="314" spans="1:3" ht="15.6" x14ac:dyDescent="0.3">
      <c r="A314" s="12"/>
      <c r="B314" s="41"/>
      <c r="C314" s="41"/>
    </row>
    <row r="315" spans="1:3" ht="15.6" x14ac:dyDescent="0.3">
      <c r="A315" s="12"/>
      <c r="B315" s="41"/>
      <c r="C315" s="41"/>
    </row>
    <row r="316" spans="1:3" ht="15.6" x14ac:dyDescent="0.3">
      <c r="A316" s="12"/>
      <c r="B316" s="41"/>
      <c r="C316" s="41"/>
    </row>
    <row r="317" spans="1:3" ht="15.6" x14ac:dyDescent="0.3">
      <c r="A317" s="12"/>
      <c r="B317" s="41"/>
      <c r="C317" s="41"/>
    </row>
    <row r="318" spans="1:3" ht="15.6" x14ac:dyDescent="0.3">
      <c r="A318" s="12"/>
      <c r="B318" s="41"/>
      <c r="C318" s="41"/>
    </row>
    <row r="319" spans="1:3" ht="15.6" x14ac:dyDescent="0.3">
      <c r="A319" s="12"/>
      <c r="B319" s="41"/>
      <c r="C319" s="41"/>
    </row>
    <row r="320" spans="1:3" ht="15.6" x14ac:dyDescent="0.3">
      <c r="A320" s="12"/>
      <c r="B320" s="41"/>
      <c r="C320" s="41"/>
    </row>
    <row r="321" spans="1:3" ht="15.6" x14ac:dyDescent="0.3">
      <c r="A321" s="12"/>
      <c r="B321" s="41"/>
      <c r="C321" s="41"/>
    </row>
    <row r="322" spans="1:3" ht="15.6" x14ac:dyDescent="0.3">
      <c r="A322" s="12"/>
      <c r="B322" s="41"/>
      <c r="C322" s="41"/>
    </row>
    <row r="323" spans="1:3" ht="15.6" x14ac:dyDescent="0.3">
      <c r="A323" s="12"/>
      <c r="B323" s="41"/>
      <c r="C323" s="41"/>
    </row>
    <row r="324" spans="1:3" ht="15.6" x14ac:dyDescent="0.3">
      <c r="A324" s="12"/>
      <c r="B324" s="41"/>
      <c r="C324" s="41"/>
    </row>
    <row r="325" spans="1:3" ht="15.6" x14ac:dyDescent="0.3">
      <c r="A325" s="12"/>
      <c r="B325" s="41"/>
      <c r="C325" s="41"/>
    </row>
    <row r="326" spans="1:3" ht="15.6" x14ac:dyDescent="0.3">
      <c r="A326" s="12"/>
      <c r="B326" s="41"/>
      <c r="C326" s="41"/>
    </row>
    <row r="327" spans="1:3" ht="15.6" x14ac:dyDescent="0.3">
      <c r="A327" s="12"/>
      <c r="B327" s="41"/>
      <c r="C327" s="43"/>
    </row>
    <row r="328" spans="1:3" ht="15.6" x14ac:dyDescent="0.3">
      <c r="A328" s="12"/>
      <c r="B328" s="41"/>
      <c r="C328" s="44"/>
    </row>
    <row r="329" spans="1:3" ht="15.6" x14ac:dyDescent="0.3">
      <c r="A329" s="12"/>
      <c r="B329" s="41"/>
      <c r="C329" s="43"/>
    </row>
    <row r="330" spans="1:3" ht="15.6" x14ac:dyDescent="0.3">
      <c r="A330" s="12"/>
      <c r="B330" s="41"/>
      <c r="C330" s="41"/>
    </row>
    <row r="331" spans="1:3" ht="15.6" x14ac:dyDescent="0.3">
      <c r="A331" s="12"/>
      <c r="B331" s="41"/>
      <c r="C331" s="41"/>
    </row>
    <row r="332" spans="1:3" ht="15.6" x14ac:dyDescent="0.3">
      <c r="A332" s="12"/>
      <c r="B332" s="41"/>
      <c r="C332" s="41"/>
    </row>
    <row r="333" spans="1:3" ht="15.6" x14ac:dyDescent="0.3">
      <c r="A333" s="12"/>
      <c r="B333" s="41"/>
      <c r="C333" s="41"/>
    </row>
    <row r="334" spans="1:3" ht="15.6" x14ac:dyDescent="0.3">
      <c r="A334" s="12"/>
      <c r="B334" s="41"/>
      <c r="C334" s="41"/>
    </row>
    <row r="335" spans="1:3" ht="15.6" x14ac:dyDescent="0.3">
      <c r="A335" s="12"/>
      <c r="B335" s="41"/>
      <c r="C335" s="41"/>
    </row>
    <row r="336" spans="1:3" ht="15.6" x14ac:dyDescent="0.3">
      <c r="A336" s="12"/>
      <c r="B336" s="41"/>
      <c r="C336" s="41"/>
    </row>
    <row r="337" spans="1:3" ht="15.6" x14ac:dyDescent="0.3">
      <c r="A337" s="12"/>
      <c r="B337" s="41"/>
      <c r="C337" s="44"/>
    </row>
    <row r="338" spans="1:3" ht="15.6" x14ac:dyDescent="0.3">
      <c r="A338" s="12"/>
      <c r="B338" s="41"/>
      <c r="C338" s="41"/>
    </row>
    <row r="339" spans="1:3" ht="15.6" x14ac:dyDescent="0.3">
      <c r="A339" s="12"/>
      <c r="B339" s="41"/>
      <c r="C339" s="41"/>
    </row>
    <row r="340" spans="1:3" ht="15.6" x14ac:dyDescent="0.3">
      <c r="A340" s="12"/>
      <c r="B340" s="41"/>
      <c r="C340" s="42"/>
    </row>
    <row r="341" spans="1:3" ht="15.6" x14ac:dyDescent="0.3">
      <c r="A341" s="12"/>
      <c r="B341" s="41"/>
      <c r="C341" s="43"/>
    </row>
    <row r="342" spans="1:3" ht="15.6" x14ac:dyDescent="0.3">
      <c r="A342" s="12"/>
      <c r="B342" s="41"/>
      <c r="C342" s="44"/>
    </row>
    <row r="343" spans="1:3" ht="15.6" x14ac:dyDescent="0.3">
      <c r="A343" s="12"/>
      <c r="B343" s="41"/>
      <c r="C343" s="44"/>
    </row>
    <row r="344" spans="1:3" ht="15.6" x14ac:dyDescent="0.3">
      <c r="A344" s="12"/>
      <c r="B344" s="41"/>
      <c r="C344" s="41"/>
    </row>
    <row r="345" spans="1:3" ht="15.6" x14ac:dyDescent="0.3">
      <c r="A345" s="12"/>
      <c r="B345" s="41"/>
      <c r="C345" s="43"/>
    </row>
    <row r="346" spans="1:3" ht="15.6" x14ac:dyDescent="0.3">
      <c r="A346" s="12"/>
      <c r="B346" s="41"/>
      <c r="C346" s="43"/>
    </row>
    <row r="347" spans="1:3" ht="15.6" x14ac:dyDescent="0.3">
      <c r="A347" s="12"/>
      <c r="B347" s="41"/>
      <c r="C347" s="44"/>
    </row>
    <row r="348" spans="1:3" ht="15.6" x14ac:dyDescent="0.3">
      <c r="A348" s="12"/>
      <c r="B348" s="41"/>
      <c r="C348" s="43"/>
    </row>
    <row r="349" spans="1:3" ht="15.6" x14ac:dyDescent="0.3">
      <c r="A349" s="12"/>
      <c r="B349" s="41"/>
      <c r="C349" s="41"/>
    </row>
    <row r="350" spans="1:3" ht="15.6" x14ac:dyDescent="0.3">
      <c r="A350" s="12"/>
      <c r="B350" s="41"/>
      <c r="C350" s="41"/>
    </row>
    <row r="351" spans="1:3" ht="15.6" x14ac:dyDescent="0.3">
      <c r="A351" s="12"/>
      <c r="B351" s="41"/>
      <c r="C351" s="41"/>
    </row>
    <row r="352" spans="1:3" ht="15.6" x14ac:dyDescent="0.3">
      <c r="A352" s="12"/>
      <c r="B352" s="41"/>
      <c r="C352" s="41"/>
    </row>
    <row r="353" spans="1:3" ht="15.6" x14ac:dyDescent="0.3">
      <c r="A353" s="12"/>
      <c r="B353" s="41"/>
      <c r="C353" s="42"/>
    </row>
    <row r="354" spans="1:3" ht="15.6" x14ac:dyDescent="0.3">
      <c r="A354" s="12"/>
      <c r="B354" s="41"/>
      <c r="C354" s="41"/>
    </row>
    <row r="355" spans="1:3" ht="15.6" x14ac:dyDescent="0.3">
      <c r="A355" s="12"/>
      <c r="B355" s="41"/>
      <c r="C355" s="43"/>
    </row>
    <row r="356" spans="1:3" ht="15.6" x14ac:dyDescent="0.3">
      <c r="A356" s="12"/>
      <c r="B356" s="41"/>
      <c r="C356" s="43"/>
    </row>
    <row r="357" spans="1:3" ht="15.6" x14ac:dyDescent="0.3">
      <c r="A357" s="12"/>
      <c r="B357" s="41"/>
      <c r="C357" s="43"/>
    </row>
    <row r="358" spans="1:3" ht="15.6" x14ac:dyDescent="0.3">
      <c r="A358" s="12"/>
      <c r="B358" s="41"/>
      <c r="C358" s="41"/>
    </row>
    <row r="359" spans="1:3" ht="15.6" x14ac:dyDescent="0.3">
      <c r="A359" s="12"/>
      <c r="B359" s="41"/>
      <c r="C359" s="41"/>
    </row>
    <row r="360" spans="1:3" ht="15.6" x14ac:dyDescent="0.3">
      <c r="A360" s="12"/>
      <c r="B360" s="41"/>
      <c r="C360" s="43"/>
    </row>
    <row r="361" spans="1:3" ht="15.6" x14ac:dyDescent="0.3">
      <c r="A361" s="12"/>
      <c r="B361" s="41"/>
      <c r="C361" s="44"/>
    </row>
    <row r="362" spans="1:3" ht="15.6" x14ac:dyDescent="0.3">
      <c r="A362" s="12"/>
      <c r="B362" s="41"/>
      <c r="C362" s="43"/>
    </row>
    <row r="363" spans="1:3" ht="15.6" x14ac:dyDescent="0.3">
      <c r="A363" s="12"/>
      <c r="B363" s="41"/>
      <c r="C363" s="42"/>
    </row>
    <row r="364" spans="1:3" ht="15.6" x14ac:dyDescent="0.3">
      <c r="A364" s="12"/>
      <c r="B364" s="41"/>
      <c r="C364" s="41"/>
    </row>
    <row r="365" spans="1:3" ht="15.6" x14ac:dyDescent="0.3">
      <c r="A365" s="12"/>
      <c r="B365" s="41"/>
      <c r="C365" s="41"/>
    </row>
    <row r="366" spans="1:3" ht="15.6" x14ac:dyDescent="0.3">
      <c r="A366" s="12"/>
      <c r="B366" s="41"/>
      <c r="C366" s="42"/>
    </row>
    <row r="367" spans="1:3" ht="15.6" x14ac:dyDescent="0.3">
      <c r="A367" s="12"/>
      <c r="B367" s="41"/>
      <c r="C367" s="41"/>
    </row>
    <row r="368" spans="1:3" ht="15.6" x14ac:dyDescent="0.3">
      <c r="A368" s="12"/>
      <c r="B368" s="41"/>
      <c r="C368" s="42"/>
    </row>
    <row r="369" spans="1:3" ht="15.6" x14ac:dyDescent="0.3">
      <c r="A369" s="12"/>
      <c r="B369" s="41"/>
      <c r="C369" s="44"/>
    </row>
    <row r="370" spans="1:3" ht="15.6" x14ac:dyDescent="0.3">
      <c r="A370" s="12"/>
      <c r="B370" s="41"/>
      <c r="C370" s="44"/>
    </row>
    <row r="371" spans="1:3" ht="15.6" x14ac:dyDescent="0.3">
      <c r="A371" s="12"/>
      <c r="B371" s="41"/>
      <c r="C371" s="43"/>
    </row>
    <row r="372" spans="1:3" ht="15.6" x14ac:dyDescent="0.3">
      <c r="A372" s="12"/>
      <c r="B372" s="41"/>
      <c r="C372" s="41"/>
    </row>
    <row r="373" spans="1:3" ht="15.6" x14ac:dyDescent="0.3">
      <c r="A373" s="12"/>
      <c r="B373" s="41"/>
      <c r="C373" s="42"/>
    </row>
    <row r="374" spans="1:3" ht="15.6" x14ac:dyDescent="0.3">
      <c r="A374" s="12"/>
      <c r="B374" s="41"/>
      <c r="C374" s="44"/>
    </row>
    <row r="375" spans="1:3" ht="15.6" x14ac:dyDescent="0.3">
      <c r="A375" s="12"/>
      <c r="B375" s="41"/>
      <c r="C375" s="42"/>
    </row>
    <row r="376" spans="1:3" ht="15.6" x14ac:dyDescent="0.3">
      <c r="A376" s="12"/>
      <c r="B376" s="41"/>
      <c r="C376" s="43"/>
    </row>
    <row r="377" spans="1:3" ht="15.6" x14ac:dyDescent="0.3">
      <c r="A377" s="12"/>
      <c r="B377" s="41"/>
      <c r="C377" s="42"/>
    </row>
    <row r="378" spans="1:3" ht="15.6" x14ac:dyDescent="0.3">
      <c r="A378" s="12"/>
      <c r="B378" s="41"/>
      <c r="C378" s="41"/>
    </row>
    <row r="379" spans="1:3" ht="15.6" x14ac:dyDescent="0.3">
      <c r="A379" s="12"/>
      <c r="B379" s="41"/>
      <c r="C379" s="43"/>
    </row>
    <row r="380" spans="1:3" ht="15.6" x14ac:dyDescent="0.3">
      <c r="A380" s="12"/>
      <c r="B380" s="41"/>
      <c r="C380" s="41"/>
    </row>
    <row r="381" spans="1:3" ht="15.6" x14ac:dyDescent="0.3">
      <c r="A381" s="12"/>
      <c r="B381" s="41"/>
      <c r="C381" s="42"/>
    </row>
    <row r="382" spans="1:3" ht="15.6" x14ac:dyDescent="0.3">
      <c r="A382" s="12"/>
      <c r="B382" s="41"/>
      <c r="C382" s="41"/>
    </row>
    <row r="383" spans="1:3" ht="15.6" x14ac:dyDescent="0.3">
      <c r="A383" s="12"/>
      <c r="B383" s="41"/>
      <c r="C383" s="44"/>
    </row>
    <row r="384" spans="1:3" ht="15.6" x14ac:dyDescent="0.3">
      <c r="A384" s="12"/>
      <c r="B384" s="41"/>
      <c r="C384" s="43"/>
    </row>
    <row r="385" spans="1:3" ht="15.6" x14ac:dyDescent="0.3">
      <c r="A385" s="12"/>
      <c r="B385" s="41"/>
      <c r="C385" s="44"/>
    </row>
    <row r="386" spans="1:3" ht="15.6" x14ac:dyDescent="0.3">
      <c r="A386" s="12"/>
      <c r="B386" s="41"/>
      <c r="C386" s="41"/>
    </row>
    <row r="387" spans="1:3" ht="15.6" x14ac:dyDescent="0.3">
      <c r="A387" s="12"/>
      <c r="B387" s="41"/>
      <c r="C387" s="42"/>
    </row>
    <row r="388" spans="1:3" ht="15.6" x14ac:dyDescent="0.3">
      <c r="A388" s="12"/>
      <c r="B388" s="41"/>
      <c r="C388" s="43"/>
    </row>
    <row r="389" spans="1:3" ht="15.6" x14ac:dyDescent="0.3">
      <c r="A389" s="12"/>
      <c r="B389" s="41"/>
      <c r="C389" s="41"/>
    </row>
    <row r="390" spans="1:3" ht="15.6" x14ac:dyDescent="0.3">
      <c r="A390" s="12"/>
      <c r="B390" s="41"/>
      <c r="C390" s="42"/>
    </row>
    <row r="391" spans="1:3" ht="15.6" x14ac:dyDescent="0.3">
      <c r="A391" s="12"/>
      <c r="B391" s="41"/>
      <c r="C391" s="41"/>
    </row>
    <row r="392" spans="1:3" ht="15.6" x14ac:dyDescent="0.3">
      <c r="A392" s="12"/>
      <c r="B392" s="41"/>
      <c r="C392" s="41"/>
    </row>
    <row r="393" spans="1:3" ht="15.6" x14ac:dyDescent="0.3">
      <c r="A393" s="12"/>
      <c r="B393" s="41"/>
      <c r="C393" s="43"/>
    </row>
    <row r="394" spans="1:3" ht="15.6" x14ac:dyDescent="0.3">
      <c r="A394" s="12"/>
      <c r="B394" s="41"/>
      <c r="C394" s="41"/>
    </row>
    <row r="395" spans="1:3" ht="15.6" x14ac:dyDescent="0.3">
      <c r="A395" s="12"/>
      <c r="B395" s="41"/>
      <c r="C395" s="41"/>
    </row>
    <row r="396" spans="1:3" ht="15.6" x14ac:dyDescent="0.3">
      <c r="A396" s="12"/>
      <c r="B396" s="41"/>
      <c r="C396" s="41"/>
    </row>
    <row r="397" spans="1:3" ht="15.6" x14ac:dyDescent="0.3">
      <c r="A397" s="12"/>
      <c r="B397" s="41"/>
      <c r="C397" s="44"/>
    </row>
    <row r="398" spans="1:3" ht="15.6" x14ac:dyDescent="0.3">
      <c r="A398" s="12"/>
      <c r="B398" s="41"/>
      <c r="C398" s="44"/>
    </row>
    <row r="399" spans="1:3" ht="15.6" x14ac:dyDescent="0.3">
      <c r="A399" s="12"/>
      <c r="B399" s="41"/>
      <c r="C399" s="44"/>
    </row>
    <row r="400" spans="1:3" ht="15.6" x14ac:dyDescent="0.3">
      <c r="A400" s="12"/>
      <c r="B400" s="41"/>
      <c r="C400" s="42"/>
    </row>
    <row r="401" spans="1:3" ht="15.6" x14ac:dyDescent="0.3">
      <c r="A401" s="12"/>
      <c r="B401" s="41"/>
      <c r="C401" s="42"/>
    </row>
    <row r="402" spans="1:3" ht="15.6" x14ac:dyDescent="0.3">
      <c r="A402" s="12"/>
      <c r="B402" s="41"/>
      <c r="C402" s="42"/>
    </row>
    <row r="403" spans="1:3" ht="15.6" x14ac:dyDescent="0.3">
      <c r="A403" s="12"/>
      <c r="B403" s="41"/>
      <c r="C403" s="41"/>
    </row>
    <row r="404" spans="1:3" ht="15.6" x14ac:dyDescent="0.3">
      <c r="A404" s="12"/>
      <c r="B404" s="41"/>
      <c r="C404" s="42"/>
    </row>
    <row r="405" spans="1:3" ht="15.6" x14ac:dyDescent="0.3">
      <c r="A405" s="12"/>
      <c r="B405" s="41"/>
      <c r="C405" s="41"/>
    </row>
    <row r="406" spans="1:3" ht="15.6" x14ac:dyDescent="0.3">
      <c r="A406" s="12"/>
      <c r="B406" s="41"/>
      <c r="C406" s="41"/>
    </row>
    <row r="407" spans="1:3" ht="15.6" x14ac:dyDescent="0.3">
      <c r="A407" s="12"/>
      <c r="B407" s="41"/>
      <c r="C407" s="43"/>
    </row>
    <row r="408" spans="1:3" ht="15.6" x14ac:dyDescent="0.3">
      <c r="A408" s="12"/>
      <c r="B408" s="41"/>
      <c r="C408" s="41"/>
    </row>
    <row r="409" spans="1:3" ht="15.6" x14ac:dyDescent="0.3">
      <c r="A409" s="12"/>
      <c r="B409" s="41"/>
      <c r="C409" s="41"/>
    </row>
    <row r="410" spans="1:3" ht="15.6" x14ac:dyDescent="0.3">
      <c r="A410" s="12"/>
      <c r="B410" s="41"/>
      <c r="C410" s="41"/>
    </row>
    <row r="411" spans="1:3" ht="15.6" x14ac:dyDescent="0.3">
      <c r="A411" s="12"/>
      <c r="B411" s="41"/>
      <c r="C411" s="41"/>
    </row>
    <row r="412" spans="1:3" ht="15.6" x14ac:dyDescent="0.3">
      <c r="A412" s="12"/>
      <c r="B412" s="41"/>
      <c r="C412" s="41"/>
    </row>
    <row r="413" spans="1:3" ht="15.6" x14ac:dyDescent="0.3">
      <c r="A413" s="12"/>
      <c r="B413" s="41"/>
      <c r="C413" s="43"/>
    </row>
    <row r="414" spans="1:3" ht="15.6" x14ac:dyDescent="0.3">
      <c r="A414" s="12"/>
      <c r="B414" s="41"/>
      <c r="C414" s="41"/>
    </row>
    <row r="415" spans="1:3" ht="15.6" x14ac:dyDescent="0.3">
      <c r="A415" s="12"/>
      <c r="B415" s="41"/>
      <c r="C415" s="42"/>
    </row>
    <row r="416" spans="1:3" ht="15.6" x14ac:dyDescent="0.3">
      <c r="A416" s="12"/>
      <c r="B416" s="41"/>
      <c r="C416" s="41"/>
    </row>
    <row r="417" spans="1:3" ht="15.6" x14ac:dyDescent="0.3">
      <c r="A417" s="12"/>
      <c r="B417" s="41"/>
      <c r="C417" s="41"/>
    </row>
    <row r="418" spans="1:3" ht="15.6" x14ac:dyDescent="0.3">
      <c r="A418" s="12"/>
      <c r="B418" s="41"/>
      <c r="C418" s="41"/>
    </row>
    <row r="419" spans="1:3" ht="15.6" x14ac:dyDescent="0.3">
      <c r="A419" s="12"/>
      <c r="B419" s="41"/>
      <c r="C419" s="41"/>
    </row>
    <row r="420" spans="1:3" ht="15.6" x14ac:dyDescent="0.3">
      <c r="A420" s="12"/>
      <c r="B420" s="41"/>
      <c r="C420" s="41"/>
    </row>
    <row r="421" spans="1:3" ht="15.6" x14ac:dyDescent="0.3">
      <c r="A421" s="12"/>
      <c r="B421" s="41"/>
      <c r="C421" s="42"/>
    </row>
    <row r="422" spans="1:3" ht="15.6" x14ac:dyDescent="0.3">
      <c r="A422" s="12"/>
      <c r="B422" s="41"/>
      <c r="C422" s="41"/>
    </row>
    <row r="423" spans="1:3" ht="15.6" x14ac:dyDescent="0.3">
      <c r="A423" s="12"/>
      <c r="B423" s="41"/>
      <c r="C423" s="41"/>
    </row>
    <row r="424" spans="1:3" ht="15.6" x14ac:dyDescent="0.3">
      <c r="A424" s="12"/>
      <c r="B424" s="41"/>
      <c r="C424" s="41"/>
    </row>
    <row r="425" spans="1:3" ht="15.6" x14ac:dyDescent="0.3">
      <c r="A425" s="12"/>
      <c r="B425" s="41"/>
      <c r="C425" s="41"/>
    </row>
    <row r="426" spans="1:3" ht="15.6" x14ac:dyDescent="0.3">
      <c r="A426" s="12"/>
      <c r="B426" s="41"/>
      <c r="C426" s="41"/>
    </row>
    <row r="427" spans="1:3" ht="15.6" x14ac:dyDescent="0.3">
      <c r="A427" s="12"/>
      <c r="B427" s="41"/>
      <c r="C427" s="41"/>
    </row>
    <row r="428" spans="1:3" ht="15.6" x14ac:dyDescent="0.3">
      <c r="A428" s="12"/>
      <c r="B428" s="41"/>
      <c r="C428" s="41"/>
    </row>
    <row r="429" spans="1:3" ht="15.6" x14ac:dyDescent="0.3">
      <c r="A429" s="12"/>
      <c r="B429" s="41"/>
      <c r="C429" s="41"/>
    </row>
    <row r="430" spans="1:3" ht="15.6" x14ac:dyDescent="0.3">
      <c r="A430" s="12"/>
      <c r="B430" s="41"/>
      <c r="C430" s="41"/>
    </row>
    <row r="431" spans="1:3" ht="15.6" x14ac:dyDescent="0.3">
      <c r="A431" s="12"/>
      <c r="B431" s="41"/>
      <c r="C431" s="41"/>
    </row>
    <row r="432" spans="1:3" ht="15.6" x14ac:dyDescent="0.3">
      <c r="A432" s="12"/>
      <c r="B432" s="41"/>
      <c r="C432" s="41"/>
    </row>
    <row r="433" spans="1:3" ht="15.6" x14ac:dyDescent="0.3">
      <c r="A433" s="12"/>
      <c r="B433" s="41"/>
      <c r="C433" s="41"/>
    </row>
    <row r="434" spans="1:3" ht="15.6" x14ac:dyDescent="0.3">
      <c r="A434" s="12"/>
      <c r="B434" s="41"/>
      <c r="C434" s="41"/>
    </row>
    <row r="435" spans="1:3" ht="15.6" x14ac:dyDescent="0.3">
      <c r="A435" s="12"/>
      <c r="B435" s="41"/>
      <c r="C435" s="41"/>
    </row>
    <row r="436" spans="1:3" ht="15.6" x14ac:dyDescent="0.3">
      <c r="A436" s="12"/>
      <c r="B436" s="41"/>
      <c r="C436" s="41"/>
    </row>
    <row r="437" spans="1:3" ht="15.6" x14ac:dyDescent="0.3">
      <c r="A437" s="12"/>
      <c r="B437" s="41"/>
      <c r="C437" s="41"/>
    </row>
    <row r="438" spans="1:3" ht="15.6" x14ac:dyDescent="0.3">
      <c r="A438" s="12"/>
      <c r="B438" s="41"/>
      <c r="C438" s="41"/>
    </row>
    <row r="439" spans="1:3" ht="15.6" x14ac:dyDescent="0.3">
      <c r="A439" s="12"/>
      <c r="B439" s="41"/>
      <c r="C439" s="42"/>
    </row>
    <row r="440" spans="1:3" ht="15.6" x14ac:dyDescent="0.3">
      <c r="A440" s="12"/>
      <c r="B440" s="41"/>
      <c r="C440" s="41"/>
    </row>
    <row r="441" spans="1:3" ht="15.6" x14ac:dyDescent="0.3">
      <c r="A441" s="12"/>
      <c r="B441" s="41"/>
      <c r="C441" s="41"/>
    </row>
    <row r="442" spans="1:3" ht="15.6" x14ac:dyDescent="0.3">
      <c r="A442" s="12"/>
      <c r="B442" s="41"/>
      <c r="C442" s="41"/>
    </row>
    <row r="443" spans="1:3" ht="15.6" x14ac:dyDescent="0.3">
      <c r="A443" s="12"/>
      <c r="B443" s="41"/>
      <c r="C443" s="42"/>
    </row>
    <row r="444" spans="1:3" ht="15.6" x14ac:dyDescent="0.3">
      <c r="A444" s="12"/>
      <c r="B444" s="41"/>
      <c r="C444" s="41"/>
    </row>
    <row r="445" spans="1:3" ht="15.6" x14ac:dyDescent="0.3">
      <c r="A445" s="12"/>
      <c r="B445" s="41"/>
      <c r="C445" s="41"/>
    </row>
    <row r="446" spans="1:3" ht="15.6" x14ac:dyDescent="0.3">
      <c r="A446" s="12"/>
      <c r="B446" s="41"/>
      <c r="C446" s="41"/>
    </row>
    <row r="447" spans="1:3" ht="15.6" x14ac:dyDescent="0.3">
      <c r="A447" s="12"/>
      <c r="B447" s="41"/>
      <c r="C447" s="41"/>
    </row>
    <row r="448" spans="1:3" ht="15.6" x14ac:dyDescent="0.3">
      <c r="A448" s="12"/>
      <c r="B448" s="41"/>
      <c r="C448" s="41"/>
    </row>
    <row r="449" spans="1:3" ht="15.6" x14ac:dyDescent="0.3">
      <c r="A449" s="12"/>
      <c r="B449" s="41"/>
      <c r="C449" s="41"/>
    </row>
    <row r="450" spans="1:3" ht="15.6" x14ac:dyDescent="0.3">
      <c r="A450" s="12"/>
      <c r="B450" s="41"/>
      <c r="C450" s="41"/>
    </row>
    <row r="451" spans="1:3" ht="15.6" x14ac:dyDescent="0.3">
      <c r="A451" s="12"/>
      <c r="B451" s="41"/>
      <c r="C451" s="41"/>
    </row>
    <row r="452" spans="1:3" ht="15.6" x14ac:dyDescent="0.3">
      <c r="A452" s="12"/>
      <c r="B452" s="41"/>
      <c r="C452" s="41"/>
    </row>
    <row r="453" spans="1:3" ht="15.6" x14ac:dyDescent="0.3">
      <c r="A453" s="12"/>
      <c r="B453" s="41"/>
      <c r="C453" s="41"/>
    </row>
    <row r="454" spans="1:3" ht="15.6" x14ac:dyDescent="0.3">
      <c r="A454" s="12"/>
      <c r="B454" s="41"/>
      <c r="C454" s="41"/>
    </row>
    <row r="455" spans="1:3" ht="15.6" x14ac:dyDescent="0.3">
      <c r="A455" s="12"/>
      <c r="B455" s="41"/>
      <c r="C455" s="41"/>
    </row>
    <row r="456" spans="1:3" ht="15.6" x14ac:dyDescent="0.3">
      <c r="A456" s="12"/>
      <c r="B456" s="41"/>
      <c r="C456" s="41"/>
    </row>
    <row r="457" spans="1:3" ht="15.6" x14ac:dyDescent="0.3">
      <c r="A457" s="12"/>
      <c r="B457" s="41"/>
      <c r="C457" s="41"/>
    </row>
    <row r="458" spans="1:3" ht="15.6" x14ac:dyDescent="0.3">
      <c r="A458" s="12"/>
      <c r="B458" s="41"/>
      <c r="C458" s="41"/>
    </row>
    <row r="459" spans="1:3" ht="15.6" x14ac:dyDescent="0.3">
      <c r="A459" s="12"/>
      <c r="B459" s="41"/>
      <c r="C459" s="41"/>
    </row>
    <row r="460" spans="1:3" ht="15.6" x14ac:dyDescent="0.3">
      <c r="A460" s="12"/>
      <c r="B460" s="41"/>
      <c r="C460" s="41"/>
    </row>
    <row r="461" spans="1:3" ht="15.6" x14ac:dyDescent="0.3">
      <c r="A461" s="12"/>
      <c r="B461" s="41"/>
      <c r="C461" s="41"/>
    </row>
    <row r="462" spans="1:3" ht="15.6" x14ac:dyDescent="0.3">
      <c r="A462" s="12"/>
      <c r="B462" s="41"/>
      <c r="C462" s="41"/>
    </row>
    <row r="463" spans="1:3" ht="15.6" x14ac:dyDescent="0.3">
      <c r="A463" s="12"/>
      <c r="B463" s="41"/>
      <c r="C463" s="41"/>
    </row>
    <row r="464" spans="1:3" ht="15.6" x14ac:dyDescent="0.3">
      <c r="A464" s="12"/>
      <c r="B464" s="41"/>
      <c r="C464" s="41"/>
    </row>
    <row r="465" spans="1:3" ht="15.6" x14ac:dyDescent="0.3">
      <c r="A465" s="12"/>
      <c r="B465" s="41"/>
      <c r="C465" s="41"/>
    </row>
    <row r="466" spans="1:3" ht="15.6" x14ac:dyDescent="0.3">
      <c r="A466" s="12"/>
      <c r="B466" s="41"/>
      <c r="C466" s="41"/>
    </row>
    <row r="467" spans="1:3" ht="15.6" x14ac:dyDescent="0.3">
      <c r="A467" s="12"/>
      <c r="B467" s="41"/>
      <c r="C467" s="41"/>
    </row>
    <row r="468" spans="1:3" ht="15.6" x14ac:dyDescent="0.3">
      <c r="A468" s="12"/>
      <c r="B468" s="41"/>
      <c r="C468" s="41"/>
    </row>
    <row r="469" spans="1:3" ht="15.6" x14ac:dyDescent="0.3">
      <c r="A469" s="12"/>
      <c r="B469" s="41"/>
      <c r="C469" s="41"/>
    </row>
    <row r="470" spans="1:3" ht="15.6" x14ac:dyDescent="0.3">
      <c r="A470" s="12"/>
      <c r="B470" s="41"/>
      <c r="C470" s="41"/>
    </row>
    <row r="471" spans="1:3" ht="15.6" x14ac:dyDescent="0.3">
      <c r="A471" s="12"/>
      <c r="B471" s="41"/>
      <c r="C471" s="41"/>
    </row>
    <row r="472" spans="1:3" ht="15.6" x14ac:dyDescent="0.3">
      <c r="A472" s="12"/>
      <c r="B472" s="41"/>
      <c r="C472" s="41"/>
    </row>
    <row r="473" spans="1:3" ht="15.6" x14ac:dyDescent="0.3">
      <c r="A473" s="12"/>
      <c r="B473" s="41"/>
      <c r="C473" s="41"/>
    </row>
    <row r="474" spans="1:3" ht="15.6" x14ac:dyDescent="0.3">
      <c r="A474" s="12"/>
      <c r="B474" s="41"/>
      <c r="C474" s="41"/>
    </row>
    <row r="475" spans="1:3" ht="15.6" x14ac:dyDescent="0.3">
      <c r="A475" s="12"/>
      <c r="B475" s="41"/>
      <c r="C475" s="41"/>
    </row>
    <row r="476" spans="1:3" ht="15.6" x14ac:dyDescent="0.3">
      <c r="A476" s="12"/>
      <c r="B476" s="41"/>
      <c r="C476" s="41"/>
    </row>
    <row r="477" spans="1:3" ht="15.6" x14ac:dyDescent="0.3">
      <c r="A477" s="12"/>
      <c r="B477" s="41"/>
      <c r="C477" s="41"/>
    </row>
    <row r="478" spans="1:3" ht="15.6" x14ac:dyDescent="0.3">
      <c r="A478" s="12"/>
      <c r="B478" s="41"/>
      <c r="C478" s="41"/>
    </row>
    <row r="479" spans="1:3" ht="15.6" x14ac:dyDescent="0.3">
      <c r="A479" s="12"/>
      <c r="B479" s="41"/>
      <c r="C479" s="42"/>
    </row>
    <row r="480" spans="1:3" ht="15.6" x14ac:dyDescent="0.3">
      <c r="A480" s="12"/>
      <c r="B480" s="41"/>
      <c r="C480" s="41"/>
    </row>
    <row r="481" spans="1:3" ht="15.6" x14ac:dyDescent="0.3">
      <c r="A481" s="12"/>
      <c r="B481" s="41"/>
      <c r="C481" s="44"/>
    </row>
    <row r="482" spans="1:3" ht="15.6" x14ac:dyDescent="0.3">
      <c r="A482" s="12"/>
      <c r="B482" s="41"/>
      <c r="C482" s="43"/>
    </row>
    <row r="483" spans="1:3" ht="15.6" x14ac:dyDescent="0.3">
      <c r="A483" s="12"/>
      <c r="B483" s="41"/>
      <c r="C483" s="43"/>
    </row>
    <row r="484" spans="1:3" ht="15.6" x14ac:dyDescent="0.3">
      <c r="A484" s="12"/>
      <c r="B484" s="41"/>
      <c r="C484" s="41"/>
    </row>
    <row r="485" spans="1:3" ht="15.6" x14ac:dyDescent="0.3">
      <c r="A485" s="12"/>
      <c r="B485" s="41"/>
      <c r="C485" s="44"/>
    </row>
    <row r="486" spans="1:3" ht="15.6" x14ac:dyDescent="0.3">
      <c r="A486" s="12"/>
      <c r="B486" s="41"/>
      <c r="C486" s="44"/>
    </row>
    <row r="487" spans="1:3" ht="15.6" x14ac:dyDescent="0.3">
      <c r="A487" s="12"/>
      <c r="B487" s="41"/>
      <c r="C487" s="44"/>
    </row>
    <row r="488" spans="1:3" ht="15.6" x14ac:dyDescent="0.3">
      <c r="A488" s="12"/>
      <c r="B488" s="41"/>
      <c r="C488" s="43"/>
    </row>
    <row r="489" spans="1:3" ht="15.6" x14ac:dyDescent="0.3">
      <c r="A489" s="12"/>
      <c r="B489" s="41"/>
      <c r="C489" s="41"/>
    </row>
    <row r="490" spans="1:3" ht="15.6" x14ac:dyDescent="0.3">
      <c r="A490" s="12"/>
      <c r="B490" s="41"/>
      <c r="C490" s="41"/>
    </row>
    <row r="491" spans="1:3" ht="15.6" x14ac:dyDescent="0.3">
      <c r="A491" s="12"/>
      <c r="B491" s="41"/>
      <c r="C491" s="43"/>
    </row>
    <row r="492" spans="1:3" ht="15.6" x14ac:dyDescent="0.3">
      <c r="A492" s="12"/>
      <c r="B492" s="41"/>
      <c r="C492" s="41"/>
    </row>
    <row r="493" spans="1:3" ht="15.6" x14ac:dyDescent="0.3">
      <c r="A493" s="12"/>
      <c r="B493" s="41"/>
      <c r="C493" s="41"/>
    </row>
    <row r="494" spans="1:3" ht="15.6" x14ac:dyDescent="0.3">
      <c r="A494" s="12"/>
      <c r="B494" s="41"/>
      <c r="C494" s="41"/>
    </row>
    <row r="495" spans="1:3" ht="15.6" x14ac:dyDescent="0.3">
      <c r="A495" s="12"/>
      <c r="B495" s="41"/>
      <c r="C495" s="44"/>
    </row>
    <row r="496" spans="1:3" ht="15.6" x14ac:dyDescent="0.3">
      <c r="A496" s="12"/>
      <c r="B496" s="41"/>
      <c r="C496" s="43"/>
    </row>
    <row r="497" spans="1:3" ht="15.6" x14ac:dyDescent="0.3">
      <c r="A497" s="12"/>
      <c r="B497" s="41"/>
      <c r="C497" s="41"/>
    </row>
    <row r="498" spans="1:3" ht="15.6" x14ac:dyDescent="0.3">
      <c r="A498" s="12"/>
      <c r="B498" s="41"/>
      <c r="C498" s="41"/>
    </row>
    <row r="499" spans="1:3" ht="15.6" x14ac:dyDescent="0.3">
      <c r="A499" s="12"/>
      <c r="B499" s="41"/>
      <c r="C499" s="41"/>
    </row>
    <row r="500" spans="1:3" ht="15.6" x14ac:dyDescent="0.3">
      <c r="A500" s="12"/>
      <c r="B500" s="41"/>
      <c r="C500" s="41"/>
    </row>
    <row r="501" spans="1:3" ht="15.6" x14ac:dyDescent="0.3">
      <c r="A501" s="12"/>
      <c r="B501" s="41"/>
      <c r="C501" s="41"/>
    </row>
    <row r="502" spans="1:3" ht="15.6" x14ac:dyDescent="0.3">
      <c r="A502" s="12"/>
      <c r="B502" s="41"/>
      <c r="C502" s="43"/>
    </row>
    <row r="503" spans="1:3" ht="15.6" x14ac:dyDescent="0.3">
      <c r="A503" s="12"/>
      <c r="B503" s="41"/>
      <c r="C503" s="41"/>
    </row>
    <row r="504" spans="1:3" ht="15.6" x14ac:dyDescent="0.3">
      <c r="A504" s="12"/>
      <c r="B504" s="41"/>
      <c r="C504" s="41"/>
    </row>
    <row r="505" spans="1:3" ht="15.6" x14ac:dyDescent="0.3">
      <c r="A505" s="12"/>
      <c r="B505" s="41"/>
      <c r="C505" s="44"/>
    </row>
    <row r="506" spans="1:3" ht="15.6" x14ac:dyDescent="0.3">
      <c r="A506" s="12"/>
      <c r="B506" s="41"/>
      <c r="C506" s="41"/>
    </row>
    <row r="507" spans="1:3" ht="15.6" x14ac:dyDescent="0.3">
      <c r="A507" s="12"/>
      <c r="B507" s="41"/>
      <c r="C507" s="41"/>
    </row>
    <row r="508" spans="1:3" ht="15.6" x14ac:dyDescent="0.3">
      <c r="A508" s="12"/>
      <c r="B508" s="41"/>
      <c r="C508" s="42"/>
    </row>
    <row r="509" spans="1:3" ht="15.6" x14ac:dyDescent="0.3">
      <c r="A509" s="12"/>
      <c r="B509" s="41"/>
      <c r="C509" s="43"/>
    </row>
    <row r="510" spans="1:3" ht="15.6" x14ac:dyDescent="0.3">
      <c r="A510" s="12"/>
      <c r="B510" s="41"/>
      <c r="C510" s="44"/>
    </row>
    <row r="511" spans="1:3" ht="15.6" x14ac:dyDescent="0.3">
      <c r="A511" s="12"/>
      <c r="B511" s="41"/>
      <c r="C511" s="41"/>
    </row>
    <row r="512" spans="1:3" ht="15.6" x14ac:dyDescent="0.3">
      <c r="A512" s="12"/>
      <c r="B512" s="41"/>
      <c r="C512" s="41"/>
    </row>
    <row r="513" spans="1:3" ht="15.6" x14ac:dyDescent="0.3">
      <c r="A513" s="12"/>
      <c r="B513" s="41"/>
      <c r="C513" s="41"/>
    </row>
    <row r="514" spans="1:3" ht="15.6" x14ac:dyDescent="0.3">
      <c r="A514" s="12"/>
      <c r="B514" s="41"/>
      <c r="C514" s="41"/>
    </row>
    <row r="515" spans="1:3" ht="15.6" x14ac:dyDescent="0.3">
      <c r="A515" s="12"/>
      <c r="B515" s="41"/>
      <c r="C515" s="42"/>
    </row>
    <row r="516" spans="1:3" ht="15.6" x14ac:dyDescent="0.3">
      <c r="A516" s="12"/>
      <c r="B516" s="41"/>
      <c r="C516" s="43"/>
    </row>
    <row r="517" spans="1:3" ht="15.6" x14ac:dyDescent="0.3">
      <c r="A517" s="12"/>
      <c r="B517" s="41"/>
      <c r="C517" s="41"/>
    </row>
    <row r="518" spans="1:3" ht="15.6" x14ac:dyDescent="0.3">
      <c r="A518" s="12"/>
      <c r="B518" s="41"/>
      <c r="C518" s="41"/>
    </row>
    <row r="519" spans="1:3" ht="15.6" x14ac:dyDescent="0.3">
      <c r="A519" s="12"/>
      <c r="B519" s="41"/>
      <c r="C519" s="44"/>
    </row>
    <row r="520" spans="1:3" ht="15.6" x14ac:dyDescent="0.3">
      <c r="A520" s="12"/>
      <c r="B520" s="41"/>
      <c r="C520" s="41"/>
    </row>
    <row r="521" spans="1:3" ht="15.6" x14ac:dyDescent="0.3">
      <c r="A521" s="12"/>
      <c r="B521" s="41"/>
      <c r="C521" s="41"/>
    </row>
    <row r="522" spans="1:3" ht="15.6" x14ac:dyDescent="0.3">
      <c r="A522" s="12"/>
      <c r="B522" s="41"/>
      <c r="C522" s="41"/>
    </row>
    <row r="523" spans="1:3" ht="15.6" x14ac:dyDescent="0.3">
      <c r="A523" s="12"/>
      <c r="B523" s="41"/>
      <c r="C523" s="42"/>
    </row>
    <row r="524" spans="1:3" ht="15.6" x14ac:dyDescent="0.3">
      <c r="A524" s="12"/>
      <c r="B524" s="41"/>
      <c r="C524" s="41"/>
    </row>
    <row r="525" spans="1:3" ht="15.6" x14ac:dyDescent="0.3">
      <c r="A525" s="12"/>
      <c r="B525" s="41"/>
      <c r="C525" s="41"/>
    </row>
    <row r="526" spans="1:3" ht="15.6" x14ac:dyDescent="0.3">
      <c r="A526" s="12"/>
      <c r="B526" s="41"/>
      <c r="C526" s="41"/>
    </row>
    <row r="527" spans="1:3" ht="15.6" x14ac:dyDescent="0.3">
      <c r="A527" s="12"/>
      <c r="B527" s="41"/>
      <c r="C527" s="42"/>
    </row>
    <row r="528" spans="1:3" ht="15.6" x14ac:dyDescent="0.3">
      <c r="A528" s="12"/>
      <c r="B528" s="41"/>
      <c r="C528" s="41"/>
    </row>
    <row r="529" spans="1:3" ht="15.6" x14ac:dyDescent="0.3">
      <c r="A529" s="12"/>
      <c r="B529" s="41"/>
      <c r="C529" s="42"/>
    </row>
    <row r="530" spans="1:3" ht="15.6" x14ac:dyDescent="0.3">
      <c r="A530" s="12"/>
      <c r="B530" s="41"/>
      <c r="C530" s="41"/>
    </row>
    <row r="531" spans="1:3" ht="15.6" x14ac:dyDescent="0.3">
      <c r="A531" s="12"/>
      <c r="B531" s="41"/>
      <c r="C531" s="41"/>
    </row>
    <row r="532" spans="1:3" ht="15.6" x14ac:dyDescent="0.3">
      <c r="A532" s="12"/>
      <c r="B532" s="41"/>
      <c r="C532" s="41"/>
    </row>
    <row r="533" spans="1:3" ht="15.6" x14ac:dyDescent="0.3">
      <c r="A533" s="12"/>
      <c r="B533" s="41"/>
      <c r="C533" s="42"/>
    </row>
    <row r="534" spans="1:3" ht="15.6" x14ac:dyDescent="0.3">
      <c r="A534" s="12"/>
      <c r="B534" s="41"/>
      <c r="C534" s="41"/>
    </row>
    <row r="535" spans="1:3" ht="15.6" x14ac:dyDescent="0.3">
      <c r="A535" s="12"/>
      <c r="B535" s="41"/>
      <c r="C535" s="41"/>
    </row>
    <row r="536" spans="1:3" ht="15.6" x14ac:dyDescent="0.3">
      <c r="A536" s="12"/>
      <c r="B536" s="41"/>
      <c r="C536" s="41"/>
    </row>
    <row r="537" spans="1:3" ht="15.6" x14ac:dyDescent="0.3">
      <c r="A537" s="12"/>
      <c r="B537" s="41"/>
      <c r="C537" s="41"/>
    </row>
    <row r="538" spans="1:3" ht="15.6" x14ac:dyDescent="0.3">
      <c r="A538" s="12"/>
      <c r="B538" s="41"/>
      <c r="C538" s="41"/>
    </row>
    <row r="539" spans="1:3" ht="15.6" x14ac:dyDescent="0.3">
      <c r="A539" s="12"/>
      <c r="B539" s="41"/>
      <c r="C539" s="42"/>
    </row>
    <row r="540" spans="1:3" ht="15.6" x14ac:dyDescent="0.3">
      <c r="A540" s="12"/>
      <c r="B540" s="41"/>
      <c r="C540" s="41"/>
    </row>
    <row r="541" spans="1:3" ht="15.6" x14ac:dyDescent="0.3">
      <c r="A541" s="12"/>
      <c r="B541" s="41"/>
      <c r="C541" s="41"/>
    </row>
    <row r="542" spans="1:3" ht="15.6" x14ac:dyDescent="0.3">
      <c r="A542" s="12"/>
      <c r="B542" s="41"/>
      <c r="C542" s="42"/>
    </row>
    <row r="543" spans="1:3" ht="15.6" x14ac:dyDescent="0.3">
      <c r="A543" s="12"/>
      <c r="B543" s="41"/>
      <c r="C543" s="41"/>
    </row>
    <row r="544" spans="1:3" ht="15.6" x14ac:dyDescent="0.3">
      <c r="A544" s="12"/>
      <c r="B544" s="41"/>
      <c r="C544" s="41"/>
    </row>
    <row r="545" spans="1:3" ht="15.6" x14ac:dyDescent="0.3">
      <c r="A545" s="12"/>
      <c r="B545" s="41"/>
      <c r="C545" s="41"/>
    </row>
    <row r="546" spans="1:3" ht="15.6" x14ac:dyDescent="0.3">
      <c r="A546" s="12"/>
      <c r="B546" s="41"/>
      <c r="C546" s="41"/>
    </row>
    <row r="547" spans="1:3" ht="15.6" x14ac:dyDescent="0.3">
      <c r="A547" s="12"/>
      <c r="B547" s="41"/>
      <c r="C547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8FC1-5B26-4CE6-B743-C8A3DF38FB1C}">
  <dimension ref="A1:T549"/>
  <sheetViews>
    <sheetView topLeftCell="A24" zoomScale="95" workbookViewId="0">
      <selection activeCell="H138" sqref="H138"/>
    </sheetView>
  </sheetViews>
  <sheetFormatPr defaultRowHeight="14.4" x14ac:dyDescent="0.3"/>
  <cols>
    <col min="1" max="1" width="11.5546875" style="16" customWidth="1"/>
    <col min="2" max="2" width="17.88671875" customWidth="1"/>
    <col min="4" max="4" width="12.6640625" customWidth="1"/>
    <col min="5" max="6" width="10.77734375" bestFit="1" customWidth="1"/>
  </cols>
  <sheetData>
    <row r="1" spans="1:20" ht="15.6" x14ac:dyDescent="0.3">
      <c r="A1" s="12" t="s">
        <v>0</v>
      </c>
    </row>
    <row r="3" spans="1:20" x14ac:dyDescent="0.3">
      <c r="A3" s="13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20" x14ac:dyDescent="0.3">
      <c r="A4" s="14">
        <v>1</v>
      </c>
      <c r="B4" s="9" t="s">
        <v>7</v>
      </c>
      <c r="C4" s="9">
        <v>351.93</v>
      </c>
      <c r="D4" s="9">
        <v>0.19961000000000001</v>
      </c>
      <c r="E4" s="10">
        <v>5.13672E-3</v>
      </c>
      <c r="F4" s="10">
        <v>5.9222500000000004E-3</v>
      </c>
    </row>
    <row r="5" spans="1:20" x14ac:dyDescent="0.3">
      <c r="A5" s="14"/>
      <c r="B5" s="9"/>
      <c r="C5" s="9">
        <v>295.22000000000003</v>
      </c>
      <c r="D5" s="11">
        <v>0.11296</v>
      </c>
      <c r="E5" s="10">
        <v>4.8283500000000003E-3</v>
      </c>
      <c r="F5" s="10">
        <v>8.1173700000000005E-3</v>
      </c>
      <c r="K5" t="s">
        <v>14</v>
      </c>
      <c r="P5" t="s">
        <v>17</v>
      </c>
      <c r="T5" t="s">
        <v>20</v>
      </c>
    </row>
    <row r="6" spans="1:20" x14ac:dyDescent="0.3">
      <c r="A6" s="14"/>
      <c r="B6" s="9" t="s">
        <v>8</v>
      </c>
      <c r="C6" s="9">
        <v>609.32000000000005</v>
      </c>
      <c r="D6" s="11">
        <v>0.14685000000000001</v>
      </c>
      <c r="E6" s="10">
        <v>4.2109199999999999E-3</v>
      </c>
      <c r="F6" s="10">
        <v>4.0903399999999996E-3</v>
      </c>
      <c r="H6">
        <f>D6</f>
        <v>0.14685000000000001</v>
      </c>
      <c r="I6">
        <f>(H6/4.8761)*K7</f>
        <v>37.201136666598309</v>
      </c>
      <c r="K6" t="s">
        <v>13</v>
      </c>
      <c r="P6" t="s">
        <v>18</v>
      </c>
      <c r="T6" t="s">
        <v>21</v>
      </c>
    </row>
    <row r="7" spans="1:20" x14ac:dyDescent="0.3">
      <c r="A7" s="14"/>
      <c r="B7" s="9"/>
      <c r="C7" s="9">
        <v>1764.49</v>
      </c>
      <c r="D7" s="11">
        <v>2.392E-2</v>
      </c>
      <c r="E7" s="10">
        <v>1.67698E-3</v>
      </c>
      <c r="F7" s="10">
        <v>1.5405200000000001E-3</v>
      </c>
      <c r="K7">
        <f>(250/1000)*4941</f>
        <v>1235.25</v>
      </c>
      <c r="P7">
        <f>3250*(250/1000)</f>
        <v>812.5</v>
      </c>
      <c r="T7">
        <f>14180*(250/1000)</f>
        <v>3545</v>
      </c>
    </row>
    <row r="8" spans="1:20" x14ac:dyDescent="0.3">
      <c r="A8" s="14"/>
      <c r="B8" s="9"/>
      <c r="C8" s="9">
        <v>1120.29</v>
      </c>
      <c r="D8" s="11">
        <v>2.972E-2</v>
      </c>
      <c r="E8" s="10">
        <v>2.04507E-3</v>
      </c>
      <c r="F8" s="10">
        <v>2.5804299999999999E-3</v>
      </c>
    </row>
    <row r="9" spans="1:20" x14ac:dyDescent="0.3">
      <c r="A9" s="14"/>
      <c r="B9" s="9" t="s">
        <v>9</v>
      </c>
      <c r="C9" s="9">
        <v>1460.82</v>
      </c>
      <c r="D9" s="11">
        <v>1.426E-2</v>
      </c>
      <c r="E9" s="10">
        <v>1.48536E-3</v>
      </c>
      <c r="F9" s="10">
        <v>2.0255899999999999E-3</v>
      </c>
      <c r="H9">
        <f>D9-0.00405337352</f>
        <v>1.020662648E-2</v>
      </c>
    </row>
    <row r="10" spans="1:20" x14ac:dyDescent="0.3">
      <c r="A10" s="14"/>
      <c r="B10" s="9" t="s">
        <v>10</v>
      </c>
      <c r="C10" s="9">
        <v>238.63</v>
      </c>
      <c r="D10" s="9">
        <v>0.33118999999999998</v>
      </c>
      <c r="E10" s="10">
        <v>7.2720299999999996E-3</v>
      </c>
      <c r="F10" s="10">
        <v>9.9605900000000001E-3</v>
      </c>
      <c r="K10" t="s">
        <v>15</v>
      </c>
      <c r="P10" t="s">
        <v>15</v>
      </c>
      <c r="T10" t="s">
        <v>15</v>
      </c>
    </row>
    <row r="11" spans="1:20" x14ac:dyDescent="0.3">
      <c r="A11" s="14"/>
      <c r="B11" s="9" t="s">
        <v>11</v>
      </c>
      <c r="C11" s="9">
        <v>911.21</v>
      </c>
      <c r="D11" s="11">
        <v>7.1859999999999993E-2</v>
      </c>
      <c r="E11" s="10">
        <v>2.97715E-3</v>
      </c>
      <c r="F11" s="10">
        <v>3.04309E-3</v>
      </c>
      <c r="K11" s="17" t="s">
        <v>16</v>
      </c>
      <c r="P11" t="s">
        <v>19</v>
      </c>
      <c r="T11" t="s">
        <v>22</v>
      </c>
    </row>
    <row r="12" spans="1:20" x14ac:dyDescent="0.3">
      <c r="A12" s="14"/>
      <c r="B12" s="9"/>
      <c r="C12" s="9">
        <v>968.97</v>
      </c>
      <c r="D12" s="11">
        <v>4.5179999999999998E-2</v>
      </c>
      <c r="E12" s="10">
        <v>2.5311600000000002E-3</v>
      </c>
      <c r="F12" s="10">
        <v>3.2478699999999999E-3</v>
      </c>
    </row>
    <row r="13" spans="1:20" x14ac:dyDescent="0.3">
      <c r="A13" s="14"/>
      <c r="B13" s="9"/>
      <c r="C13" s="9">
        <v>338.32</v>
      </c>
      <c r="D13" s="11">
        <v>7.0940000000000003E-2</v>
      </c>
      <c r="E13" s="10">
        <v>3.6621100000000001E-3</v>
      </c>
      <c r="F13" s="10">
        <v>5.7838799999999999E-3</v>
      </c>
    </row>
    <row r="14" spans="1:20" x14ac:dyDescent="0.3">
      <c r="A14" s="14"/>
      <c r="B14" s="9" t="s">
        <v>12</v>
      </c>
      <c r="C14" s="9">
        <v>2614.5300000000002</v>
      </c>
      <c r="D14" s="11">
        <v>4.6179999999999999E-2</v>
      </c>
      <c r="E14" s="10">
        <v>2.19498E-3</v>
      </c>
      <c r="F14" s="10">
        <v>1.0949499999999999E-3</v>
      </c>
      <c r="I14">
        <f>(D14/0.70039)*P7</f>
        <v>53.571938491411935</v>
      </c>
    </row>
    <row r="15" spans="1:20" x14ac:dyDescent="0.3">
      <c r="A15" s="14"/>
      <c r="B15" s="9"/>
      <c r="C15" s="9">
        <v>583.19000000000005</v>
      </c>
      <c r="D15" s="11">
        <v>0.12161</v>
      </c>
      <c r="E15" s="10">
        <v>3.9250099999999996E-3</v>
      </c>
      <c r="F15" s="10">
        <v>4.2074800000000004E-3</v>
      </c>
    </row>
    <row r="16" spans="1:20" x14ac:dyDescent="0.3">
      <c r="A16" s="14"/>
      <c r="B16" s="9"/>
      <c r="C16" s="9">
        <v>510.77</v>
      </c>
      <c r="D16" s="11">
        <v>6.1429999999999998E-2</v>
      </c>
      <c r="E16" s="10">
        <v>3.2431000000000001E-3</v>
      </c>
      <c r="F16" s="10">
        <v>4.9129600000000001E-3</v>
      </c>
    </row>
    <row r="17" spans="1:9" x14ac:dyDescent="0.3">
      <c r="A17" s="14"/>
      <c r="B17" s="9"/>
      <c r="C17" s="9">
        <v>860.56</v>
      </c>
      <c r="D17" s="11">
        <v>1.226E-2</v>
      </c>
      <c r="E17" s="10">
        <v>1.6112399999999999E-3</v>
      </c>
      <c r="F17" s="10">
        <v>2.7631399999999999E-3</v>
      </c>
    </row>
    <row r="18" spans="1:9" x14ac:dyDescent="0.3">
      <c r="A18" s="15">
        <v>2</v>
      </c>
      <c r="B18" s="1" t="s">
        <v>7</v>
      </c>
      <c r="C18" s="1">
        <v>351.93</v>
      </c>
      <c r="D18" s="3">
        <v>5.82836</v>
      </c>
      <c r="E18" s="3">
        <v>2.9479999999999999E-2</v>
      </c>
      <c r="F18" s="3">
        <v>3.8589999999999999E-2</v>
      </c>
    </row>
    <row r="19" spans="1:9" x14ac:dyDescent="0.3">
      <c r="A19" s="15"/>
      <c r="B19" s="1"/>
      <c r="C19" s="1">
        <v>295.22000000000003</v>
      </c>
      <c r="D19" s="3">
        <v>3.4231600000000002</v>
      </c>
      <c r="E19" s="3">
        <v>3.2930000000000001E-2</v>
      </c>
      <c r="F19" s="3">
        <v>6.2480000000000001E-2</v>
      </c>
    </row>
    <row r="20" spans="1:9" x14ac:dyDescent="0.3">
      <c r="A20" s="15"/>
      <c r="B20" s="1" t="s">
        <v>8</v>
      </c>
      <c r="C20" s="1">
        <v>609.32000000000005</v>
      </c>
      <c r="D20" s="3">
        <v>4.2398699999999998</v>
      </c>
      <c r="E20" s="3">
        <v>2.3E-2</v>
      </c>
      <c r="F20" s="3">
        <v>2.325E-2</v>
      </c>
      <c r="H20">
        <f>D20</f>
        <v>4.2398699999999998</v>
      </c>
      <c r="I20">
        <f>(H20/4.8761)*K7</f>
        <v>1074.0754737392588</v>
      </c>
    </row>
    <row r="21" spans="1:9" x14ac:dyDescent="0.3">
      <c r="A21" s="15"/>
      <c r="B21" s="1"/>
      <c r="C21" s="1">
        <v>1764.49</v>
      </c>
      <c r="D21" s="3">
        <v>0.66900999999999999</v>
      </c>
      <c r="E21" s="2">
        <v>9.1017000000000008E-3</v>
      </c>
      <c r="F21" s="2">
        <v>9.2561199999999996E-3</v>
      </c>
    </row>
    <row r="22" spans="1:9" x14ac:dyDescent="0.3">
      <c r="A22" s="15"/>
      <c r="B22" s="1"/>
      <c r="C22" s="1">
        <v>1120.29</v>
      </c>
      <c r="D22" s="3">
        <v>0.88829999999999998</v>
      </c>
      <c r="E22" s="3">
        <v>1.2120000000000001E-2</v>
      </c>
      <c r="F22" s="3">
        <v>1.7659999999999999E-2</v>
      </c>
    </row>
    <row r="23" spans="1:9" x14ac:dyDescent="0.3">
      <c r="A23" s="15"/>
      <c r="B23" s="1" t="s">
        <v>9</v>
      </c>
      <c r="C23" s="1">
        <v>1460.82</v>
      </c>
      <c r="D23" s="3">
        <v>9.2789999999999997E-2</v>
      </c>
      <c r="E23" s="2">
        <v>5.1962700000000002E-3</v>
      </c>
      <c r="F23" s="2">
        <v>9.7633900000000003E-3</v>
      </c>
    </row>
    <row r="24" spans="1:9" x14ac:dyDescent="0.3">
      <c r="A24" s="15"/>
      <c r="B24" s="1" t="s">
        <v>10</v>
      </c>
      <c r="C24" s="1">
        <v>238.63</v>
      </c>
      <c r="D24" s="3">
        <v>23.590409999999999</v>
      </c>
      <c r="E24" s="3">
        <v>5.5440000000000003E-2</v>
      </c>
      <c r="F24" s="3">
        <v>6.1809999999999997E-2</v>
      </c>
    </row>
    <row r="25" spans="1:9" x14ac:dyDescent="0.3">
      <c r="A25" s="15"/>
      <c r="B25" s="1" t="s">
        <v>11</v>
      </c>
      <c r="C25" s="1">
        <v>911.21</v>
      </c>
      <c r="D25" s="3">
        <v>4.5730300000000002</v>
      </c>
      <c r="E25" s="3">
        <v>2.316E-2</v>
      </c>
      <c r="F25" s="3">
        <v>2.0590000000000001E-2</v>
      </c>
    </row>
    <row r="26" spans="1:9" x14ac:dyDescent="0.3">
      <c r="A26" s="15"/>
      <c r="B26" s="1"/>
      <c r="C26" s="1">
        <v>968.97</v>
      </c>
      <c r="D26" s="3">
        <v>2.6357599999999999</v>
      </c>
      <c r="E26" s="3">
        <v>1.7989999999999999E-2</v>
      </c>
      <c r="F26" s="3">
        <v>1.7690000000000001E-2</v>
      </c>
    </row>
    <row r="27" spans="1:9" x14ac:dyDescent="0.3">
      <c r="A27" s="15"/>
      <c r="B27" s="1"/>
      <c r="C27" s="1">
        <v>338.32</v>
      </c>
      <c r="D27" s="3">
        <v>4.4253499999999999</v>
      </c>
      <c r="E27" s="3">
        <v>3.3169999999999998E-2</v>
      </c>
      <c r="F27" s="3">
        <v>5.9180000000000003E-2</v>
      </c>
    </row>
    <row r="28" spans="1:9" x14ac:dyDescent="0.3">
      <c r="A28" s="15"/>
      <c r="B28" s="1" t="s">
        <v>12</v>
      </c>
      <c r="C28" s="1">
        <v>2614.5300000000002</v>
      </c>
      <c r="D28" s="3">
        <v>2.34572</v>
      </c>
      <c r="E28" s="3">
        <v>1.5480000000000001E-2</v>
      </c>
      <c r="F28" s="2">
        <v>5.3340100000000001E-3</v>
      </c>
      <c r="I28">
        <f>(D28/0.70039)*P7</f>
        <v>2721.1946201402079</v>
      </c>
    </row>
    <row r="29" spans="1:9" x14ac:dyDescent="0.3">
      <c r="A29" s="15"/>
      <c r="B29" s="1"/>
      <c r="C29" s="1">
        <v>583.19000000000005</v>
      </c>
      <c r="D29" s="3">
        <v>6.8753500000000001</v>
      </c>
      <c r="E29" s="3">
        <v>2.8850000000000001E-2</v>
      </c>
      <c r="F29" s="3">
        <v>2.7400000000000001E-2</v>
      </c>
    </row>
    <row r="30" spans="1:9" x14ac:dyDescent="0.3">
      <c r="A30" s="15"/>
      <c r="B30" s="1"/>
      <c r="C30" s="1">
        <v>510.77</v>
      </c>
      <c r="D30" s="3">
        <v>2.1968999999999999</v>
      </c>
      <c r="E30" s="3">
        <v>1.9460000000000002E-2</v>
      </c>
      <c r="F30" s="3">
        <v>2.9190000000000001E-2</v>
      </c>
    </row>
    <row r="31" spans="1:9" x14ac:dyDescent="0.3">
      <c r="A31" s="15"/>
      <c r="B31" s="1"/>
      <c r="C31" s="1">
        <v>860.56</v>
      </c>
      <c r="D31" s="3">
        <v>0.79091999999999996</v>
      </c>
      <c r="E31" s="3">
        <v>1.172E-2</v>
      </c>
      <c r="F31" s="3">
        <v>1.7559999999999999E-2</v>
      </c>
    </row>
    <row r="32" spans="1:9" x14ac:dyDescent="0.3">
      <c r="A32" s="15">
        <v>3</v>
      </c>
      <c r="B32" s="1" t="s">
        <v>7</v>
      </c>
      <c r="C32" s="1">
        <v>351.93</v>
      </c>
      <c r="D32" s="3">
        <v>16.486910000000002</v>
      </c>
      <c r="E32" s="3">
        <v>4.5949999999999998E-2</v>
      </c>
      <c r="F32" s="3">
        <v>4.947E-2</v>
      </c>
    </row>
    <row r="33" spans="1:9" x14ac:dyDescent="0.3">
      <c r="A33" s="15"/>
      <c r="B33" s="1"/>
      <c r="C33" s="1">
        <v>295.22000000000003</v>
      </c>
      <c r="D33" s="3">
        <v>9.57273</v>
      </c>
      <c r="E33" s="3">
        <v>4.7539999999999999E-2</v>
      </c>
      <c r="F33" s="3">
        <v>8.3989999999999995E-2</v>
      </c>
    </row>
    <row r="34" spans="1:9" x14ac:dyDescent="0.3">
      <c r="A34" s="15"/>
      <c r="B34" s="1" t="s">
        <v>8</v>
      </c>
      <c r="C34" s="1">
        <v>609.32000000000005</v>
      </c>
      <c r="D34" s="3">
        <v>12.204890000000001</v>
      </c>
      <c r="E34" s="3">
        <v>3.8159999999999999E-2</v>
      </c>
      <c r="F34" s="3">
        <v>3.5069999999999997E-2</v>
      </c>
      <c r="H34">
        <f>D34</f>
        <v>12.204890000000001</v>
      </c>
      <c r="I34">
        <f>(H34/4.8761)*K7</f>
        <v>3091.8337139312157</v>
      </c>
    </row>
    <row r="35" spans="1:9" x14ac:dyDescent="0.3">
      <c r="A35" s="15"/>
      <c r="B35" s="1"/>
      <c r="C35" s="1">
        <v>1764.49</v>
      </c>
      <c r="D35" s="3">
        <v>1.9962500000000001</v>
      </c>
      <c r="E35" s="3">
        <v>1.515E-2</v>
      </c>
      <c r="F35" s="3">
        <v>1.257E-2</v>
      </c>
    </row>
    <row r="36" spans="1:9" x14ac:dyDescent="0.3">
      <c r="A36" s="15"/>
      <c r="B36" s="1"/>
      <c r="C36" s="1">
        <v>1120.29</v>
      </c>
      <c r="D36" s="3">
        <v>2.5588099999999998</v>
      </c>
      <c r="E36" s="3">
        <v>2.0230000000000001E-2</v>
      </c>
      <c r="F36" s="3">
        <v>2.8709999999999999E-2</v>
      </c>
    </row>
    <row r="37" spans="1:9" x14ac:dyDescent="0.3">
      <c r="A37" s="15"/>
      <c r="B37" s="1" t="s">
        <v>9</v>
      </c>
      <c r="C37" s="1">
        <v>1460.82</v>
      </c>
      <c r="D37" s="3">
        <v>0</v>
      </c>
      <c r="E37" s="3">
        <v>0</v>
      </c>
      <c r="F37" s="3">
        <v>0</v>
      </c>
    </row>
    <row r="38" spans="1:9" x14ac:dyDescent="0.3">
      <c r="A38" s="15"/>
      <c r="B38" s="1" t="s">
        <v>10</v>
      </c>
      <c r="C38" s="1">
        <v>238.63</v>
      </c>
      <c r="D38" s="3">
        <v>28.660440000000001</v>
      </c>
      <c r="E38" s="3">
        <v>6.6430000000000003E-2</v>
      </c>
      <c r="F38" s="3">
        <v>8.7370000000000003E-2</v>
      </c>
    </row>
    <row r="39" spans="1:9" x14ac:dyDescent="0.3">
      <c r="A39" s="15"/>
      <c r="B39" s="1" t="s">
        <v>11</v>
      </c>
      <c r="C39" s="1">
        <v>911.21</v>
      </c>
      <c r="D39" s="3">
        <v>6.30037</v>
      </c>
      <c r="E39" s="3">
        <v>2.835E-2</v>
      </c>
      <c r="F39" s="3">
        <v>3.049E-2</v>
      </c>
    </row>
    <row r="40" spans="1:9" x14ac:dyDescent="0.3">
      <c r="A40" s="15"/>
      <c r="B40" s="1"/>
      <c r="C40" s="1">
        <v>968.97</v>
      </c>
      <c r="D40" s="3">
        <v>3.6341000000000001</v>
      </c>
      <c r="E40" s="3">
        <v>2.2460000000000001E-2</v>
      </c>
      <c r="F40" s="3">
        <v>2.75E-2</v>
      </c>
    </row>
    <row r="41" spans="1:9" x14ac:dyDescent="0.3">
      <c r="A41" s="15"/>
      <c r="B41" s="1"/>
      <c r="C41" s="1">
        <v>338.32</v>
      </c>
      <c r="D41" s="3">
        <v>5.8263400000000001</v>
      </c>
      <c r="E41" s="3">
        <v>4.224E-2</v>
      </c>
      <c r="F41" s="3">
        <v>7.9960000000000003E-2</v>
      </c>
    </row>
    <row r="42" spans="1:9" x14ac:dyDescent="0.3">
      <c r="A42" s="15"/>
      <c r="B42" s="1" t="s">
        <v>12</v>
      </c>
      <c r="C42" s="1">
        <v>2614.5300000000002</v>
      </c>
      <c r="D42" s="3">
        <v>3.26315</v>
      </c>
      <c r="E42" s="3">
        <v>1.8280000000000001E-2</v>
      </c>
      <c r="F42" s="2">
        <v>6.5196000000000004E-3</v>
      </c>
      <c r="I42">
        <f>(D42/0.70039)*P7</f>
        <v>3785.475770642071</v>
      </c>
    </row>
    <row r="43" spans="1:9" x14ac:dyDescent="0.3">
      <c r="A43" s="15"/>
      <c r="B43" s="1"/>
      <c r="C43" s="1">
        <v>583.19000000000005</v>
      </c>
      <c r="D43" s="3">
        <v>9.3568800000000003</v>
      </c>
      <c r="E43" s="3">
        <v>3.5209999999999998E-2</v>
      </c>
      <c r="F43" s="3">
        <v>4.0059999999999998E-2</v>
      </c>
    </row>
    <row r="44" spans="1:9" x14ac:dyDescent="0.3">
      <c r="A44" s="15"/>
      <c r="B44" s="1"/>
      <c r="C44" s="1">
        <v>510.77</v>
      </c>
      <c r="D44" s="3">
        <v>3.1505899999999998</v>
      </c>
      <c r="E44" s="3">
        <v>2.4969999999999999E-2</v>
      </c>
      <c r="F44" s="3">
        <v>4.0809999999999999E-2</v>
      </c>
    </row>
    <row r="45" spans="1:9" x14ac:dyDescent="0.3">
      <c r="A45" s="15"/>
      <c r="B45" s="1"/>
      <c r="C45" s="1">
        <v>860.56</v>
      </c>
      <c r="D45" s="3">
        <v>1.0966199999999999</v>
      </c>
      <c r="E45" s="3">
        <v>1.461E-2</v>
      </c>
      <c r="F45" s="3">
        <v>2.3570000000000001E-2</v>
      </c>
    </row>
    <row r="46" spans="1:9" x14ac:dyDescent="0.3">
      <c r="A46" s="15">
        <v>4</v>
      </c>
      <c r="B46" s="1" t="s">
        <v>7</v>
      </c>
      <c r="C46" s="1">
        <v>351.93</v>
      </c>
      <c r="D46" s="3">
        <v>8.6722699999999993</v>
      </c>
      <c r="E46" s="3">
        <v>3.424E-2</v>
      </c>
      <c r="F46" s="3">
        <v>4.0379999999999999E-2</v>
      </c>
    </row>
    <row r="47" spans="1:9" x14ac:dyDescent="0.3">
      <c r="A47" s="15"/>
      <c r="B47" s="1"/>
      <c r="C47" s="1">
        <v>295.22000000000003</v>
      </c>
      <c r="D47" s="3">
        <v>5.0862699999999998</v>
      </c>
      <c r="E47" s="3">
        <v>3.1230000000000001E-2</v>
      </c>
      <c r="F47" s="3">
        <v>5.006E-2</v>
      </c>
    </row>
    <row r="48" spans="1:9" x14ac:dyDescent="0.3">
      <c r="A48" s="15"/>
      <c r="B48" s="1" t="s">
        <v>8</v>
      </c>
      <c r="C48" s="1">
        <v>609.32000000000005</v>
      </c>
      <c r="D48" s="3">
        <v>6.2674799999999999</v>
      </c>
      <c r="E48" s="3">
        <v>2.8250000000000001E-2</v>
      </c>
      <c r="F48" s="3">
        <v>3.0030000000000001E-2</v>
      </c>
    </row>
    <row r="49" spans="1:6" x14ac:dyDescent="0.3">
      <c r="A49" s="15"/>
      <c r="B49" s="1"/>
      <c r="C49" s="1">
        <v>1764.49</v>
      </c>
      <c r="D49" s="3">
        <v>1.0042899999999999</v>
      </c>
      <c r="E49" s="3">
        <v>1.0800000000000001E-2</v>
      </c>
      <c r="F49" s="2">
        <v>9.3615399999999998E-3</v>
      </c>
    </row>
    <row r="50" spans="1:6" x14ac:dyDescent="0.3">
      <c r="A50" s="15"/>
      <c r="B50" s="1"/>
      <c r="C50" s="1">
        <v>1120.29</v>
      </c>
      <c r="D50" s="3">
        <v>1.3034399999999999</v>
      </c>
      <c r="E50" s="3">
        <v>1.384E-2</v>
      </c>
      <c r="F50" s="3">
        <v>1.8270000000000002E-2</v>
      </c>
    </row>
    <row r="51" spans="1:6" x14ac:dyDescent="0.3">
      <c r="A51" s="15"/>
      <c r="B51" s="1" t="s">
        <v>9</v>
      </c>
      <c r="C51" s="1">
        <v>1460.82</v>
      </c>
      <c r="D51" s="3">
        <v>0</v>
      </c>
      <c r="E51" s="3">
        <v>0</v>
      </c>
      <c r="F51" s="3">
        <v>0</v>
      </c>
    </row>
    <row r="52" spans="1:6" x14ac:dyDescent="0.3">
      <c r="A52" s="15"/>
      <c r="B52" s="1" t="s">
        <v>10</v>
      </c>
      <c r="C52" s="1">
        <v>238.63</v>
      </c>
      <c r="D52" s="3">
        <v>19.508400000000002</v>
      </c>
      <c r="E52" s="3">
        <v>5.1799999999999999E-2</v>
      </c>
      <c r="F52" s="3">
        <v>6.234E-2</v>
      </c>
    </row>
    <row r="53" spans="1:6" x14ac:dyDescent="0.3">
      <c r="A53" s="15"/>
      <c r="B53" s="1" t="s">
        <v>11</v>
      </c>
      <c r="C53" s="1">
        <v>911.21</v>
      </c>
      <c r="D53" s="3">
        <v>3.9626700000000001</v>
      </c>
      <c r="E53" s="3">
        <v>2.1909999999999999E-2</v>
      </c>
      <c r="F53" s="3">
        <v>2.128E-2</v>
      </c>
    </row>
    <row r="54" spans="1:6" x14ac:dyDescent="0.3">
      <c r="A54" s="15"/>
      <c r="B54" s="1"/>
      <c r="C54" s="1">
        <v>968.97</v>
      </c>
      <c r="D54" s="3">
        <v>2.2957000000000001</v>
      </c>
      <c r="E54" s="3">
        <v>1.6910000000000001E-2</v>
      </c>
      <c r="F54" s="3">
        <v>1.7229999999999999E-2</v>
      </c>
    </row>
    <row r="55" spans="1:6" x14ac:dyDescent="0.3">
      <c r="A55" s="15"/>
      <c r="B55" s="1"/>
      <c r="C55" s="1">
        <v>338.32</v>
      </c>
      <c r="D55" s="3">
        <v>3.8723800000000002</v>
      </c>
      <c r="E55" s="3">
        <v>3.1960000000000002E-2</v>
      </c>
      <c r="F55" s="3">
        <v>5.7619999999999998E-2</v>
      </c>
    </row>
    <row r="56" spans="1:6" x14ac:dyDescent="0.3">
      <c r="A56" s="15"/>
      <c r="B56" s="1" t="s">
        <v>12</v>
      </c>
      <c r="C56" s="1">
        <v>2614.5300000000002</v>
      </c>
      <c r="D56" s="3">
        <v>2.0161899999999999</v>
      </c>
      <c r="E56" s="3">
        <v>1.435E-2</v>
      </c>
      <c r="F56" s="2">
        <v>4.8617299999999999E-3</v>
      </c>
    </row>
    <row r="57" spans="1:6" x14ac:dyDescent="0.3">
      <c r="A57" s="15"/>
      <c r="B57" s="1"/>
      <c r="C57" s="1">
        <v>583.19000000000005</v>
      </c>
      <c r="D57" s="3">
        <v>5.9412900000000004</v>
      </c>
      <c r="E57" s="3">
        <v>2.724E-2</v>
      </c>
      <c r="F57" s="3">
        <v>2.8250000000000001E-2</v>
      </c>
    </row>
    <row r="58" spans="1:6" x14ac:dyDescent="0.3">
      <c r="A58" s="15"/>
      <c r="B58" s="1"/>
      <c r="C58" s="1">
        <v>510.77</v>
      </c>
      <c r="D58" s="3">
        <v>1.9478800000000001</v>
      </c>
      <c r="E58" s="3">
        <v>2.0389999999999998E-2</v>
      </c>
      <c r="F58" s="3">
        <v>3.422E-2</v>
      </c>
    </row>
    <row r="59" spans="1:6" x14ac:dyDescent="0.3">
      <c r="A59" s="15"/>
      <c r="B59" s="1"/>
      <c r="C59" s="1">
        <v>860.56</v>
      </c>
      <c r="D59" s="3">
        <v>0.67796999999999996</v>
      </c>
      <c r="E59" s="3">
        <v>1.0800000000000001E-2</v>
      </c>
      <c r="F59" s="3">
        <v>1.6250000000000001E-2</v>
      </c>
    </row>
    <row r="60" spans="1:6" x14ac:dyDescent="0.3">
      <c r="A60" s="15">
        <v>6</v>
      </c>
      <c r="B60" s="1" t="s">
        <v>7</v>
      </c>
      <c r="C60" s="1">
        <v>351.93</v>
      </c>
      <c r="D60" s="4">
        <v>6.1359999999999998E-2</v>
      </c>
      <c r="E60" s="5">
        <v>3.0561899999999999E-3</v>
      </c>
      <c r="F60" s="5">
        <v>4.1686199999999996E-3</v>
      </c>
    </row>
    <row r="61" spans="1:6" x14ac:dyDescent="0.3">
      <c r="A61" s="15"/>
      <c r="B61" s="1"/>
      <c r="C61" s="1">
        <v>295.22000000000003</v>
      </c>
      <c r="D61" s="4">
        <v>3.5299999999999998E-2</v>
      </c>
      <c r="E61" s="5">
        <v>3.0675400000000001E-3</v>
      </c>
      <c r="F61" s="5">
        <v>5.6811800000000001E-3</v>
      </c>
    </row>
    <row r="62" spans="1:6" x14ac:dyDescent="0.3">
      <c r="A62" s="15"/>
      <c r="B62" s="1" t="s">
        <v>8</v>
      </c>
      <c r="C62" s="1">
        <v>609.32000000000005</v>
      </c>
      <c r="D62" s="4">
        <v>4.3240000000000001E-2</v>
      </c>
      <c r="E62" s="5">
        <v>2.4428599999999998E-3</v>
      </c>
      <c r="F62" s="5">
        <v>3.0106999999999998E-3</v>
      </c>
    </row>
    <row r="63" spans="1:6" x14ac:dyDescent="0.3">
      <c r="A63" s="15"/>
      <c r="B63" s="1"/>
      <c r="C63" s="1">
        <v>1764.49</v>
      </c>
      <c r="D63" s="5">
        <v>5.7285910799999996E-3</v>
      </c>
      <c r="E63" s="5">
        <v>9.6991999999999998E-4</v>
      </c>
      <c r="F63" s="5">
        <v>1.3930399999999999E-3</v>
      </c>
    </row>
    <row r="64" spans="1:6" x14ac:dyDescent="0.3">
      <c r="A64" s="15"/>
      <c r="B64" s="1"/>
      <c r="C64" s="1">
        <v>1120.29</v>
      </c>
      <c r="D64" s="5">
        <v>7.3920111299999999E-3</v>
      </c>
      <c r="E64" s="5">
        <v>1.1123800000000001E-3</v>
      </c>
      <c r="F64" s="5">
        <v>1.6461900000000001E-3</v>
      </c>
    </row>
    <row r="65" spans="1:6" x14ac:dyDescent="0.3">
      <c r="A65" s="15"/>
      <c r="B65" s="1" t="s">
        <v>9</v>
      </c>
      <c r="C65" s="1">
        <v>1460.82</v>
      </c>
      <c r="D65" s="4">
        <v>0</v>
      </c>
      <c r="E65" s="5">
        <v>0</v>
      </c>
      <c r="F65" s="5">
        <v>0</v>
      </c>
    </row>
    <row r="66" spans="1:6" x14ac:dyDescent="0.3">
      <c r="A66" s="15"/>
      <c r="B66" s="1" t="s">
        <v>10</v>
      </c>
      <c r="C66" s="1">
        <v>238.63</v>
      </c>
      <c r="D66" s="4">
        <v>0.22578999999999999</v>
      </c>
      <c r="E66" s="5">
        <v>5.5112599999999996E-3</v>
      </c>
      <c r="F66" s="5">
        <v>6.5332200000000002E-3</v>
      </c>
    </row>
    <row r="67" spans="1:6" x14ac:dyDescent="0.3">
      <c r="A67" s="15"/>
      <c r="B67" s="1" t="s">
        <v>11</v>
      </c>
      <c r="C67" s="1">
        <v>911.21</v>
      </c>
      <c r="D67" s="4">
        <v>4.0809999999999999E-2</v>
      </c>
      <c r="E67" s="5">
        <v>2.2343799999999998E-3</v>
      </c>
      <c r="F67" s="5">
        <v>2.2613300000000002E-3</v>
      </c>
    </row>
    <row r="68" spans="1:6" x14ac:dyDescent="0.3">
      <c r="A68" s="15"/>
      <c r="B68" s="1"/>
      <c r="C68" s="1">
        <v>968.97</v>
      </c>
      <c r="D68" s="4">
        <v>2.3380000000000001E-2</v>
      </c>
      <c r="E68" s="5">
        <v>1.8876400000000001E-3</v>
      </c>
      <c r="F68" s="5">
        <v>2.5960900000000001E-3</v>
      </c>
    </row>
    <row r="69" spans="1:6" x14ac:dyDescent="0.3">
      <c r="A69" s="15"/>
      <c r="B69" s="1"/>
      <c r="C69" s="1">
        <v>338.32</v>
      </c>
      <c r="D69" s="4">
        <v>4.1689999999999998E-2</v>
      </c>
      <c r="E69" s="5">
        <v>2.79854E-3</v>
      </c>
      <c r="F69" s="5">
        <v>4.5056000000000002E-3</v>
      </c>
    </row>
    <row r="70" spans="1:6" x14ac:dyDescent="0.3">
      <c r="A70" s="15"/>
      <c r="B70" s="1" t="s">
        <v>12</v>
      </c>
      <c r="C70" s="1">
        <v>2614.5300000000002</v>
      </c>
      <c r="D70" s="4">
        <v>0</v>
      </c>
      <c r="E70" s="5">
        <v>0</v>
      </c>
      <c r="F70" s="5">
        <v>0</v>
      </c>
    </row>
    <row r="71" spans="1:6" x14ac:dyDescent="0.3">
      <c r="A71" s="15"/>
      <c r="B71" s="1"/>
      <c r="C71" s="1">
        <v>583.19000000000005</v>
      </c>
      <c r="D71" s="4">
        <v>6.2469999999999998E-2</v>
      </c>
      <c r="E71" s="5">
        <v>2.8530299999999999E-3</v>
      </c>
      <c r="F71" s="6">
        <v>3.2333000000000001E-3</v>
      </c>
    </row>
    <row r="72" spans="1:6" x14ac:dyDescent="0.3">
      <c r="A72" s="15"/>
      <c r="B72" s="1"/>
      <c r="C72" s="1">
        <v>510.77</v>
      </c>
      <c r="D72" s="4">
        <v>3.8989999999999997E-2</v>
      </c>
      <c r="E72" s="5">
        <v>2.5776699999999998E-3</v>
      </c>
      <c r="F72" s="5">
        <v>3.8618599999999999E-3</v>
      </c>
    </row>
    <row r="73" spans="1:6" x14ac:dyDescent="0.3">
      <c r="A73" s="15"/>
      <c r="B73" s="1"/>
      <c r="C73" s="1">
        <v>860.56</v>
      </c>
      <c r="D73" s="5">
        <v>6.3352855699999999E-3</v>
      </c>
      <c r="E73" s="5">
        <v>1.1599500000000001E-3</v>
      </c>
      <c r="F73" s="5">
        <v>2.0140399999999999E-3</v>
      </c>
    </row>
    <row r="74" spans="1:6" x14ac:dyDescent="0.3">
      <c r="A74" s="15">
        <v>7</v>
      </c>
      <c r="B74" s="1" t="s">
        <v>7</v>
      </c>
      <c r="C74" s="1">
        <v>351.93</v>
      </c>
      <c r="D74" s="3">
        <v>5.4020700000000001</v>
      </c>
      <c r="E74" s="3">
        <v>2.7050000000000001E-2</v>
      </c>
      <c r="F74" s="3">
        <v>3.1949999999999999E-2</v>
      </c>
    </row>
    <row r="75" spans="1:6" x14ac:dyDescent="0.3">
      <c r="A75" s="15"/>
      <c r="B75" s="1"/>
      <c r="C75" s="1">
        <v>295.22000000000003</v>
      </c>
      <c r="D75" s="3">
        <v>3.2126800000000002</v>
      </c>
      <c r="E75" s="3">
        <v>2.6499999999999999E-2</v>
      </c>
      <c r="F75" s="3">
        <v>4.5310000000000003E-2</v>
      </c>
    </row>
    <row r="76" spans="1:6" x14ac:dyDescent="0.3">
      <c r="A76" s="15"/>
      <c r="B76" s="1" t="s">
        <v>8</v>
      </c>
      <c r="C76" s="1">
        <v>609.32000000000005</v>
      </c>
      <c r="D76" s="3">
        <v>3.8242600000000002</v>
      </c>
      <c r="E76" s="3">
        <v>2.1999999999999999E-2</v>
      </c>
      <c r="F76" s="3">
        <v>2.3130000000000001E-2</v>
      </c>
    </row>
    <row r="77" spans="1:6" x14ac:dyDescent="0.3">
      <c r="A77" s="15"/>
      <c r="B77" s="1"/>
      <c r="C77" s="1">
        <v>1764.49</v>
      </c>
      <c r="D77" s="3">
        <v>0.59765999999999997</v>
      </c>
      <c r="E77" s="2">
        <v>8.5131200000000008E-3</v>
      </c>
      <c r="F77" s="2">
        <v>8.2332199999999994E-3</v>
      </c>
    </row>
    <row r="78" spans="1:6" x14ac:dyDescent="0.3">
      <c r="A78" s="15"/>
      <c r="B78" s="1"/>
      <c r="C78" s="1">
        <v>1120.29</v>
      </c>
      <c r="D78" s="3">
        <v>0.78246000000000004</v>
      </c>
      <c r="E78" s="3">
        <v>1.022E-2</v>
      </c>
      <c r="F78" s="3">
        <v>1.1639999999999999E-2</v>
      </c>
    </row>
    <row r="79" spans="1:6" x14ac:dyDescent="0.3">
      <c r="A79" s="15"/>
      <c r="B79" s="1" t="s">
        <v>9</v>
      </c>
      <c r="C79" s="1">
        <v>1460.82</v>
      </c>
      <c r="D79" s="3">
        <v>9.4839999999999994E-2</v>
      </c>
      <c r="E79" s="2">
        <v>5.2994699999999997E-3</v>
      </c>
      <c r="F79" s="3">
        <v>1.0070000000000001E-2</v>
      </c>
    </row>
    <row r="80" spans="1:6" x14ac:dyDescent="0.3">
      <c r="A80" s="15"/>
      <c r="B80" s="1" t="s">
        <v>10</v>
      </c>
      <c r="C80" s="1">
        <v>238.63</v>
      </c>
      <c r="D80" s="3">
        <v>21.03227</v>
      </c>
      <c r="E80" s="3">
        <v>5.1200000000000002E-2</v>
      </c>
      <c r="F80" s="3">
        <v>5.2510000000000001E-2</v>
      </c>
    </row>
    <row r="81" spans="1:6" x14ac:dyDescent="0.3">
      <c r="A81" s="15"/>
      <c r="B81" s="1" t="s">
        <v>11</v>
      </c>
      <c r="C81" s="1">
        <v>911.21</v>
      </c>
      <c r="D81" s="3">
        <v>3.85616</v>
      </c>
      <c r="E81" s="3">
        <v>2.1219999999999999E-2</v>
      </c>
      <c r="F81" s="3">
        <v>1.865E-2</v>
      </c>
    </row>
    <row r="82" spans="1:6" x14ac:dyDescent="0.3">
      <c r="A82" s="15"/>
      <c r="B82" s="1"/>
      <c r="C82" s="1">
        <v>968.97</v>
      </c>
      <c r="D82" s="3">
        <v>2.2327300000000001</v>
      </c>
      <c r="E82" s="3">
        <v>1.6879999999999999E-2</v>
      </c>
      <c r="F82" s="3">
        <v>1.822E-2</v>
      </c>
    </row>
    <row r="83" spans="1:6" x14ac:dyDescent="0.3">
      <c r="A83" s="15"/>
      <c r="B83" s="1"/>
      <c r="C83" s="1">
        <v>338.32</v>
      </c>
      <c r="D83" s="3">
        <v>3.9106399999999999</v>
      </c>
      <c r="E83" s="3">
        <v>2.9229999999999999E-2</v>
      </c>
      <c r="F83" s="3">
        <v>4.9270000000000001E-2</v>
      </c>
    </row>
    <row r="84" spans="1:6" x14ac:dyDescent="0.3">
      <c r="A84" s="15"/>
      <c r="B84" s="1" t="s">
        <v>12</v>
      </c>
      <c r="C84" s="1">
        <v>2614.5300000000002</v>
      </c>
      <c r="D84" s="3">
        <v>1.9287799999999999</v>
      </c>
      <c r="E84" s="3">
        <v>1.401E-2</v>
      </c>
      <c r="F84" s="6">
        <v>4.3545499999999996E-3</v>
      </c>
    </row>
    <row r="85" spans="1:6" x14ac:dyDescent="0.3">
      <c r="A85" s="15"/>
      <c r="B85" s="1"/>
      <c r="C85" s="1">
        <v>583.19000000000005</v>
      </c>
      <c r="D85" s="3">
        <v>5.9160300000000001</v>
      </c>
      <c r="E85" s="3">
        <v>2.6769999999999999E-2</v>
      </c>
      <c r="F85" s="3">
        <v>2.598E-2</v>
      </c>
    </row>
    <row r="86" spans="1:6" x14ac:dyDescent="0.3">
      <c r="A86" s="15"/>
      <c r="B86" s="1"/>
      <c r="C86" s="1">
        <v>510.77</v>
      </c>
      <c r="D86" s="3">
        <v>1.82189</v>
      </c>
      <c r="E86" s="3">
        <v>1.754E-2</v>
      </c>
      <c r="F86" s="3">
        <v>2.5579999999999999E-2</v>
      </c>
    </row>
    <row r="87" spans="1:6" x14ac:dyDescent="0.3">
      <c r="A87" s="15"/>
      <c r="B87" s="1"/>
      <c r="C87" s="1">
        <v>860.56</v>
      </c>
      <c r="D87" s="3">
        <v>0.66524000000000005</v>
      </c>
      <c r="E87" s="3">
        <v>1.0580000000000001E-2</v>
      </c>
      <c r="F87" s="3">
        <v>1.5699999999999999E-2</v>
      </c>
    </row>
    <row r="88" spans="1:6" x14ac:dyDescent="0.3">
      <c r="A88" s="15">
        <v>8</v>
      </c>
      <c r="B88" s="1" t="s">
        <v>7</v>
      </c>
      <c r="C88" s="1">
        <v>351.93</v>
      </c>
      <c r="D88" s="4">
        <v>3.2261099999999998</v>
      </c>
      <c r="E88" s="4">
        <v>2.0760000000000001E-2</v>
      </c>
      <c r="F88" s="4">
        <v>2.3869999999999999E-2</v>
      </c>
    </row>
    <row r="89" spans="1:6" x14ac:dyDescent="0.3">
      <c r="A89" s="15"/>
      <c r="B89" s="1"/>
      <c r="C89" s="1">
        <v>295.22000000000003</v>
      </c>
      <c r="D89" s="4">
        <v>1.90855</v>
      </c>
      <c r="E89" s="4">
        <v>2.2450000000000001E-2</v>
      </c>
      <c r="F89" s="4">
        <v>4.0930000000000001E-2</v>
      </c>
    </row>
    <row r="90" spans="1:6" x14ac:dyDescent="0.3">
      <c r="A90" s="15"/>
      <c r="B90" s="1" t="s">
        <v>8</v>
      </c>
      <c r="C90" s="1">
        <v>609.32000000000005</v>
      </c>
      <c r="D90" s="4">
        <v>2.2885200000000001</v>
      </c>
      <c r="E90" s="4">
        <v>1.687E-2</v>
      </c>
      <c r="F90" s="4">
        <v>1.7399999999999999E-2</v>
      </c>
    </row>
    <row r="91" spans="1:6" x14ac:dyDescent="0.3">
      <c r="A91" s="15"/>
      <c r="B91" s="1"/>
      <c r="C91" s="1">
        <v>1764.49</v>
      </c>
      <c r="D91" s="4">
        <v>0.35025000000000001</v>
      </c>
      <c r="E91" s="5">
        <v>6.5564000000000004E-3</v>
      </c>
      <c r="F91" s="5">
        <v>6.5804799999999997E-3</v>
      </c>
    </row>
    <row r="92" spans="1:6" x14ac:dyDescent="0.3">
      <c r="A92" s="15"/>
      <c r="B92" s="1"/>
      <c r="C92" s="1">
        <v>1120.29</v>
      </c>
      <c r="D92" s="4">
        <v>0.46892</v>
      </c>
      <c r="E92" s="5">
        <v>8.6186000000000006E-3</v>
      </c>
      <c r="F92" s="4">
        <v>1.218E-2</v>
      </c>
    </row>
    <row r="93" spans="1:6" x14ac:dyDescent="0.3">
      <c r="A93" s="15"/>
      <c r="B93" s="1" t="s">
        <v>9</v>
      </c>
      <c r="C93" s="1">
        <v>1460.82</v>
      </c>
      <c r="D93" s="4">
        <v>5.2080000000000001E-2</v>
      </c>
      <c r="E93" s="5">
        <v>3.7474299999999999E-3</v>
      </c>
      <c r="F93" s="5">
        <v>6.8042900000000002E-3</v>
      </c>
    </row>
    <row r="94" spans="1:6" x14ac:dyDescent="0.3">
      <c r="A94" s="15"/>
      <c r="B94" s="1" t="s">
        <v>10</v>
      </c>
      <c r="C94" s="1">
        <v>238.63</v>
      </c>
      <c r="D94" s="4">
        <v>12.77411</v>
      </c>
      <c r="E94" s="4">
        <v>3.95E-2</v>
      </c>
      <c r="F94" s="4">
        <v>3.8679999999999999E-2</v>
      </c>
    </row>
    <row r="95" spans="1:6" x14ac:dyDescent="0.3">
      <c r="A95" s="15"/>
      <c r="B95" s="1" t="s">
        <v>11</v>
      </c>
      <c r="C95" s="1">
        <v>911.21</v>
      </c>
      <c r="D95" s="4">
        <v>2.3176700000000001</v>
      </c>
      <c r="E95" s="4">
        <v>1.652E-2</v>
      </c>
      <c r="F95" s="4">
        <v>1.499E-2</v>
      </c>
    </row>
    <row r="96" spans="1:6" x14ac:dyDescent="0.3">
      <c r="A96" s="15"/>
      <c r="B96" s="1"/>
      <c r="C96" s="1">
        <v>968.97</v>
      </c>
      <c r="D96" s="4">
        <v>1.3556600000000001</v>
      </c>
      <c r="E96" s="4">
        <v>1.316E-2</v>
      </c>
      <c r="F96" s="4">
        <v>1.43E-2</v>
      </c>
    </row>
    <row r="97" spans="1:6" x14ac:dyDescent="0.3">
      <c r="A97" s="15"/>
      <c r="B97" s="1"/>
      <c r="C97" s="1">
        <v>338.32</v>
      </c>
      <c r="D97" s="4">
        <v>2.3738800000000002</v>
      </c>
      <c r="E97" s="4">
        <v>2.2630000000000001E-2</v>
      </c>
      <c r="F97" s="4">
        <v>3.7819999999999999E-2</v>
      </c>
    </row>
    <row r="98" spans="1:6" x14ac:dyDescent="0.3">
      <c r="A98" s="15"/>
      <c r="B98" s="1" t="s">
        <v>12</v>
      </c>
      <c r="C98" s="1">
        <v>2614.5300000000002</v>
      </c>
      <c r="D98" s="4">
        <v>1.1590400000000001</v>
      </c>
      <c r="E98" s="4">
        <v>1.091E-2</v>
      </c>
      <c r="F98" s="5">
        <v>4.0718000000000004E-3</v>
      </c>
    </row>
    <row r="99" spans="1:6" x14ac:dyDescent="0.3">
      <c r="A99" s="15"/>
      <c r="B99" s="1"/>
      <c r="C99" s="1">
        <v>583.19000000000005</v>
      </c>
      <c r="D99" s="4">
        <v>3.5626099999999998</v>
      </c>
      <c r="E99" s="4">
        <v>2.0580000000000001E-2</v>
      </c>
      <c r="F99" s="4">
        <v>1.883E-2</v>
      </c>
    </row>
    <row r="100" spans="1:6" x14ac:dyDescent="0.3">
      <c r="A100" s="15"/>
      <c r="B100" s="1"/>
      <c r="C100" s="1">
        <v>510.77</v>
      </c>
      <c r="D100" s="4">
        <v>1.11033</v>
      </c>
      <c r="E100" s="4">
        <v>1.3440000000000001E-2</v>
      </c>
      <c r="F100" s="4">
        <v>1.9109999999999999E-2</v>
      </c>
    </row>
    <row r="101" spans="1:6" x14ac:dyDescent="0.3">
      <c r="A101" s="15"/>
      <c r="B101" s="1"/>
      <c r="C101" s="1">
        <v>860.56</v>
      </c>
      <c r="D101" s="4">
        <v>0.40194000000000002</v>
      </c>
      <c r="E101" s="5">
        <v>7.5755900000000001E-3</v>
      </c>
      <c r="F101" s="5">
        <v>9.62966E-3</v>
      </c>
    </row>
    <row r="102" spans="1:6" x14ac:dyDescent="0.3">
      <c r="A102" s="15">
        <v>9</v>
      </c>
      <c r="B102" s="1" t="s">
        <v>7</v>
      </c>
      <c r="C102" s="1">
        <v>351.93</v>
      </c>
      <c r="D102" s="4">
        <v>0.46023999999999998</v>
      </c>
      <c r="E102" s="5">
        <v>7.7459199999999999E-3</v>
      </c>
      <c r="F102" s="5">
        <v>8.7104299999999999E-3</v>
      </c>
    </row>
    <row r="103" spans="1:6" x14ac:dyDescent="0.3">
      <c r="A103" s="15"/>
      <c r="B103" s="1"/>
      <c r="C103" s="1">
        <v>295.22000000000003</v>
      </c>
      <c r="D103" s="4">
        <v>0.27515000000000001</v>
      </c>
      <c r="E103" s="5">
        <v>7.4181100000000003E-3</v>
      </c>
      <c r="F103" s="4">
        <v>1.222E-2</v>
      </c>
    </row>
    <row r="104" spans="1:6" x14ac:dyDescent="0.3">
      <c r="A104" s="15"/>
      <c r="B104" s="1" t="s">
        <v>8</v>
      </c>
      <c r="C104" s="1">
        <v>609.32000000000005</v>
      </c>
      <c r="D104" s="4">
        <v>0.31827</v>
      </c>
      <c r="E104" s="5">
        <v>6.2443300000000002E-3</v>
      </c>
      <c r="F104" s="5">
        <v>6.28555E-3</v>
      </c>
    </row>
    <row r="105" spans="1:6" x14ac:dyDescent="0.3">
      <c r="A105" s="15"/>
      <c r="B105" s="1"/>
      <c r="C105" s="1">
        <v>1764.49</v>
      </c>
      <c r="D105" s="4">
        <v>5.2949999999999997E-2</v>
      </c>
      <c r="E105" s="5">
        <v>2.4507600000000002E-3</v>
      </c>
      <c r="F105" s="5">
        <v>1.9983399999999999E-3</v>
      </c>
    </row>
    <row r="106" spans="1:6" x14ac:dyDescent="0.3">
      <c r="A106" s="15"/>
      <c r="B106" s="1"/>
      <c r="C106" s="1">
        <v>1120.29</v>
      </c>
      <c r="D106" s="4">
        <v>0</v>
      </c>
      <c r="E106" s="5">
        <v>0</v>
      </c>
      <c r="F106" s="5">
        <v>0</v>
      </c>
    </row>
    <row r="107" spans="1:6" x14ac:dyDescent="0.3">
      <c r="A107" s="15"/>
      <c r="B107" s="1" t="s">
        <v>9</v>
      </c>
      <c r="C107" s="1">
        <v>1460.82</v>
      </c>
      <c r="D107" s="4">
        <v>1.6650000000000002E-2</v>
      </c>
      <c r="E107" s="5">
        <v>1.8264799999999999E-3</v>
      </c>
      <c r="F107" s="5">
        <v>3.06084E-3</v>
      </c>
    </row>
    <row r="108" spans="1:6" x14ac:dyDescent="0.3">
      <c r="A108" s="15"/>
      <c r="B108" s="1" t="s">
        <v>10</v>
      </c>
      <c r="C108" s="1">
        <v>238.63</v>
      </c>
      <c r="D108" s="4">
        <v>1.10379</v>
      </c>
      <c r="E108" s="4">
        <v>1.274E-2</v>
      </c>
      <c r="F108" s="4">
        <v>1.602E-2</v>
      </c>
    </row>
    <row r="109" spans="1:6" x14ac:dyDescent="0.3">
      <c r="A109" s="15"/>
      <c r="B109" s="1" t="s">
        <v>11</v>
      </c>
      <c r="C109" s="1">
        <v>911.21</v>
      </c>
      <c r="D109" s="4">
        <v>0.24364</v>
      </c>
      <c r="E109" s="5">
        <v>5.2801000000000002E-3</v>
      </c>
      <c r="F109" s="6">
        <v>4.4074600000000002E-3</v>
      </c>
    </row>
    <row r="110" spans="1:6" x14ac:dyDescent="0.3">
      <c r="A110" s="15"/>
      <c r="B110" s="1"/>
      <c r="C110" s="1">
        <v>968.97</v>
      </c>
      <c r="D110" s="4">
        <v>0.14013999999999999</v>
      </c>
      <c r="E110" s="5">
        <v>4.2095700000000002E-3</v>
      </c>
      <c r="F110" s="5">
        <v>4.5050899999999998E-3</v>
      </c>
    </row>
    <row r="111" spans="1:6" x14ac:dyDescent="0.3">
      <c r="A111" s="15"/>
      <c r="B111" s="1"/>
      <c r="C111" s="1">
        <v>338.32</v>
      </c>
      <c r="D111" s="4">
        <v>0.23507</v>
      </c>
      <c r="E111" s="5">
        <v>6.0651500000000001E-3</v>
      </c>
      <c r="F111" s="5">
        <v>8.5097999999999997E-3</v>
      </c>
    </row>
    <row r="112" spans="1:6" x14ac:dyDescent="0.3">
      <c r="A112" s="15"/>
      <c r="B112" s="1" t="s">
        <v>12</v>
      </c>
      <c r="C112" s="1">
        <v>2614.5300000000002</v>
      </c>
      <c r="D112" s="4">
        <v>0.12156</v>
      </c>
      <c r="E112" s="5">
        <v>3.54229E-3</v>
      </c>
      <c r="F112" s="5">
        <v>1.47153E-3</v>
      </c>
    </row>
    <row r="113" spans="1:6" x14ac:dyDescent="0.3">
      <c r="A113" s="15"/>
      <c r="B113" s="1"/>
      <c r="C113" s="1">
        <v>583.19000000000005</v>
      </c>
      <c r="D113" s="4">
        <v>0.36101</v>
      </c>
      <c r="E113" s="5">
        <v>6.6736499999999997E-3</v>
      </c>
      <c r="F113" s="5">
        <v>6.7508500000000001E-3</v>
      </c>
    </row>
    <row r="114" spans="1:6" x14ac:dyDescent="0.3">
      <c r="A114" s="15"/>
      <c r="B114" s="1"/>
      <c r="C114" s="1">
        <v>510.77</v>
      </c>
      <c r="D114" s="4">
        <v>0.12953000000000001</v>
      </c>
      <c r="E114" s="5">
        <v>4.6507400000000004E-3</v>
      </c>
      <c r="F114" s="5">
        <v>6.7456199999999999E-3</v>
      </c>
    </row>
    <row r="115" spans="1:6" x14ac:dyDescent="0.3">
      <c r="A115" s="15"/>
      <c r="B115" s="1"/>
      <c r="C115" s="1">
        <v>860.56</v>
      </c>
      <c r="D115" s="4">
        <v>4.2270000000000002E-2</v>
      </c>
      <c r="E115" s="5">
        <v>2.6296900000000001E-3</v>
      </c>
      <c r="F115" s="5">
        <v>3.8430999999999999E-3</v>
      </c>
    </row>
    <row r="116" spans="1:6" x14ac:dyDescent="0.3">
      <c r="A116" s="15">
        <v>10</v>
      </c>
      <c r="B116" s="1" t="s">
        <v>7</v>
      </c>
      <c r="C116" s="1">
        <v>351.93</v>
      </c>
      <c r="D116" s="4">
        <v>0.14113999999999999</v>
      </c>
      <c r="E116" s="5">
        <v>4.3961800000000004E-3</v>
      </c>
      <c r="F116" s="5">
        <v>5.3316500000000003E-3</v>
      </c>
    </row>
    <row r="117" spans="1:6" x14ac:dyDescent="0.3">
      <c r="A117" s="15"/>
      <c r="B117" s="1"/>
      <c r="C117" s="1">
        <v>295.22000000000003</v>
      </c>
      <c r="D117" s="4">
        <v>8.3470000000000003E-2</v>
      </c>
      <c r="E117" s="5">
        <v>4.1361599999999998E-3</v>
      </c>
      <c r="F117" s="5">
        <v>6.9146900000000002E-3</v>
      </c>
    </row>
    <row r="118" spans="1:6" x14ac:dyDescent="0.3">
      <c r="A118" s="15"/>
      <c r="B118" s="1" t="s">
        <v>8</v>
      </c>
      <c r="C118" s="1">
        <v>609.32000000000005</v>
      </c>
      <c r="D118" s="4">
        <v>9.8519999999999996E-2</v>
      </c>
      <c r="E118" s="5">
        <v>3.6176699999999999E-3</v>
      </c>
      <c r="F118" s="5">
        <v>4.2305600000000004E-3</v>
      </c>
    </row>
    <row r="119" spans="1:6" x14ac:dyDescent="0.3">
      <c r="A119" s="15"/>
      <c r="B119" s="1"/>
      <c r="C119" s="1">
        <v>1764.49</v>
      </c>
      <c r="D119" s="4">
        <v>1.5939999999999999E-2</v>
      </c>
      <c r="E119" s="5">
        <v>1.4113400000000001E-3</v>
      </c>
      <c r="F119" s="5">
        <v>1.5204800000000001E-3</v>
      </c>
    </row>
    <row r="120" spans="1:6" x14ac:dyDescent="0.3">
      <c r="A120" s="15"/>
      <c r="B120" s="1"/>
      <c r="C120" s="1">
        <v>1120.29</v>
      </c>
      <c r="D120" s="4">
        <v>1.9060000000000001E-2</v>
      </c>
      <c r="E120" s="5">
        <v>1.7215900000000001E-3</v>
      </c>
      <c r="F120" s="5">
        <v>2.4420000000000002E-3</v>
      </c>
    </row>
    <row r="121" spans="1:6" x14ac:dyDescent="0.3">
      <c r="A121" s="15"/>
      <c r="B121" s="1" t="s">
        <v>9</v>
      </c>
      <c r="C121" s="1">
        <v>1460.82</v>
      </c>
      <c r="D121" s="4">
        <v>1.009E-2</v>
      </c>
      <c r="E121" s="5">
        <v>1.2807700000000001E-3</v>
      </c>
      <c r="F121" s="5">
        <v>1.90682E-3</v>
      </c>
    </row>
    <row r="122" spans="1:6" x14ac:dyDescent="0.3">
      <c r="A122" s="15"/>
      <c r="B122" s="1" t="s">
        <v>10</v>
      </c>
      <c r="C122" s="1">
        <v>238.63</v>
      </c>
      <c r="D122" s="4">
        <v>0.37373000000000001</v>
      </c>
      <c r="E122" s="5">
        <v>6.9735200000000004E-3</v>
      </c>
      <c r="F122" s="5">
        <v>7.8532099999999994E-3</v>
      </c>
    </row>
    <row r="123" spans="1:6" x14ac:dyDescent="0.3">
      <c r="A123" s="15"/>
      <c r="B123" s="1" t="s">
        <v>11</v>
      </c>
      <c r="C123" s="1">
        <v>911.21</v>
      </c>
      <c r="D123" s="4">
        <v>6.7080000000000001E-2</v>
      </c>
      <c r="E123" s="5">
        <v>2.8600800000000001E-3</v>
      </c>
      <c r="F123" s="5">
        <v>2.8177100000000002E-3</v>
      </c>
    </row>
    <row r="124" spans="1:6" x14ac:dyDescent="0.3">
      <c r="A124" s="15"/>
      <c r="B124" s="1"/>
      <c r="C124" s="1">
        <v>968.97</v>
      </c>
      <c r="D124" s="4">
        <v>3.934E-2</v>
      </c>
      <c r="E124" s="5">
        <v>2.38835E-3</v>
      </c>
      <c r="F124" s="5">
        <v>3.1451600000000001E-3</v>
      </c>
    </row>
    <row r="125" spans="1:6" x14ac:dyDescent="0.3">
      <c r="A125" s="15"/>
      <c r="B125" s="1"/>
      <c r="C125" s="1">
        <v>338.32</v>
      </c>
      <c r="D125" s="4">
        <v>7.1940000000000004E-2</v>
      </c>
      <c r="E125" s="5">
        <v>3.6927399999999999E-3</v>
      </c>
      <c r="F125" s="5">
        <v>5.9552800000000003E-3</v>
      </c>
    </row>
    <row r="126" spans="1:6" x14ac:dyDescent="0.3">
      <c r="A126" s="15"/>
      <c r="B126" s="1" t="s">
        <v>12</v>
      </c>
      <c r="C126" s="1">
        <v>2614.5300000000002</v>
      </c>
      <c r="D126" s="4">
        <v>3.875E-2</v>
      </c>
      <c r="E126" s="5">
        <v>1.9953700000000002E-3</v>
      </c>
      <c r="F126" s="5">
        <v>8.1094100000000003E-4</v>
      </c>
    </row>
    <row r="127" spans="1:6" x14ac:dyDescent="0.3">
      <c r="A127" s="15"/>
      <c r="B127" s="1"/>
      <c r="C127" s="1">
        <v>583.19000000000005</v>
      </c>
      <c r="D127" s="4">
        <v>0.10879</v>
      </c>
      <c r="E127" s="5">
        <v>3.66929E-3</v>
      </c>
      <c r="F127" s="5">
        <v>3.7765099999999998E-3</v>
      </c>
    </row>
    <row r="128" spans="1:6" x14ac:dyDescent="0.3">
      <c r="A128" s="15"/>
      <c r="B128" s="1"/>
      <c r="C128" s="1">
        <v>510.77</v>
      </c>
      <c r="D128" s="4">
        <v>4.8669999999999998E-2</v>
      </c>
      <c r="E128" s="5">
        <v>2.8480900000000002E-3</v>
      </c>
      <c r="F128" s="5">
        <v>4.1504300000000001E-3</v>
      </c>
    </row>
    <row r="129" spans="1:6" x14ac:dyDescent="0.3">
      <c r="A129" s="15"/>
      <c r="B129" s="1"/>
      <c r="C129" s="1">
        <v>860.56</v>
      </c>
      <c r="D129" s="4">
        <v>1.1639999999999999E-2</v>
      </c>
      <c r="E129" s="5">
        <v>1.5716899999999999E-3</v>
      </c>
      <c r="F129" s="5">
        <v>2.71375E-3</v>
      </c>
    </row>
    <row r="130" spans="1:6" x14ac:dyDescent="0.3">
      <c r="A130" s="15">
        <v>12</v>
      </c>
      <c r="B130" s="1" t="s">
        <v>7</v>
      </c>
      <c r="C130" s="1">
        <v>351.93</v>
      </c>
      <c r="D130" s="4">
        <v>9.1910000000000006E-2</v>
      </c>
      <c r="E130" s="5">
        <v>3.57858E-3</v>
      </c>
      <c r="F130" s="5">
        <v>4.4632200000000004E-3</v>
      </c>
    </row>
    <row r="131" spans="1:6" x14ac:dyDescent="0.3">
      <c r="A131" s="15"/>
      <c r="B131" s="1"/>
      <c r="C131" s="1">
        <v>295.22000000000003</v>
      </c>
      <c r="D131" s="4">
        <v>5.3449999999999998E-2</v>
      </c>
      <c r="E131" s="5">
        <v>3.5170900000000001E-3</v>
      </c>
      <c r="F131" s="5">
        <v>6.1969800000000004E-3</v>
      </c>
    </row>
    <row r="132" spans="1:6" x14ac:dyDescent="0.3">
      <c r="A132" s="15"/>
      <c r="B132" s="1" t="s">
        <v>8</v>
      </c>
      <c r="C132" s="1">
        <v>609.32000000000005</v>
      </c>
      <c r="D132" s="4">
        <v>6.59E-2</v>
      </c>
      <c r="E132" s="5">
        <v>2.9711400000000002E-3</v>
      </c>
      <c r="F132" s="5">
        <v>3.5133299999999998E-3</v>
      </c>
    </row>
    <row r="133" spans="1:6" x14ac:dyDescent="0.3">
      <c r="A133" s="15"/>
      <c r="B133" s="1"/>
      <c r="C133" s="1">
        <v>1764.49</v>
      </c>
      <c r="D133" s="4">
        <v>1.052E-2</v>
      </c>
      <c r="E133" s="5">
        <v>1.18227E-3</v>
      </c>
      <c r="F133" s="5">
        <v>1.4107900000000001E-3</v>
      </c>
    </row>
    <row r="134" spans="1:6" x14ac:dyDescent="0.3">
      <c r="A134" s="15"/>
      <c r="B134" s="1"/>
      <c r="C134" s="1">
        <v>1120.29</v>
      </c>
      <c r="D134" s="4">
        <v>1.345E-2</v>
      </c>
      <c r="E134" s="5">
        <v>1.4268600000000001E-3</v>
      </c>
      <c r="F134" s="5">
        <v>1.9647599999999999E-3</v>
      </c>
    </row>
    <row r="135" spans="1:6" x14ac:dyDescent="0.3">
      <c r="A135" s="15"/>
      <c r="B135" s="1" t="s">
        <v>9</v>
      </c>
      <c r="C135" s="1">
        <v>1460.82</v>
      </c>
      <c r="D135" s="4">
        <v>1.2840000000000001E-2</v>
      </c>
      <c r="E135" s="5">
        <v>1.33275E-3</v>
      </c>
      <c r="F135" s="5">
        <v>1.6780199999999999E-3</v>
      </c>
    </row>
    <row r="136" spans="1:6" x14ac:dyDescent="0.3">
      <c r="A136" s="15"/>
      <c r="B136" s="1" t="s">
        <v>10</v>
      </c>
      <c r="C136" s="1">
        <v>238.63</v>
      </c>
      <c r="D136" s="4">
        <v>0.23974999999999999</v>
      </c>
      <c r="E136" s="5">
        <v>5.6309699999999999E-3</v>
      </c>
      <c r="F136" s="5">
        <v>6.3678800000000002E-3</v>
      </c>
    </row>
    <row r="137" spans="1:6" x14ac:dyDescent="0.3">
      <c r="A137" s="15"/>
      <c r="B137" s="1" t="s">
        <v>11</v>
      </c>
      <c r="C137" s="1">
        <v>911.21</v>
      </c>
      <c r="D137" s="4">
        <v>4.8189999999999997E-2</v>
      </c>
      <c r="E137" s="5">
        <v>2.3986300000000001E-3</v>
      </c>
      <c r="F137" s="5">
        <v>2.3106300000000001E-3</v>
      </c>
    </row>
    <row r="138" spans="1:6" x14ac:dyDescent="0.3">
      <c r="A138" s="15"/>
      <c r="B138" s="1"/>
      <c r="C138" s="1">
        <v>968.97</v>
      </c>
      <c r="D138" s="4">
        <v>1.9449999999999999E-2</v>
      </c>
      <c r="E138" s="5">
        <v>2.0324499999999999E-3</v>
      </c>
      <c r="F138" s="5">
        <v>3.36587E-3</v>
      </c>
    </row>
    <row r="139" spans="1:6" x14ac:dyDescent="0.3">
      <c r="A139" s="15"/>
      <c r="B139" s="1"/>
      <c r="C139" s="1">
        <v>338.32</v>
      </c>
      <c r="D139" s="4">
        <v>4.4159999999999998E-2</v>
      </c>
      <c r="E139" s="5">
        <v>2.9035900000000002E-3</v>
      </c>
      <c r="F139" s="5">
        <v>4.6167500000000002E-3</v>
      </c>
    </row>
    <row r="140" spans="1:6" x14ac:dyDescent="0.3">
      <c r="A140" s="15"/>
      <c r="B140" s="1" t="s">
        <v>12</v>
      </c>
      <c r="C140" s="1">
        <v>2614.5300000000002</v>
      </c>
      <c r="D140" s="4">
        <v>2.5909999999999999E-2</v>
      </c>
      <c r="E140" s="5">
        <v>1.6450799999999999E-3</v>
      </c>
      <c r="F140" s="5">
        <v>8.3922399999999996E-4</v>
      </c>
    </row>
    <row r="141" spans="1:6" x14ac:dyDescent="0.3">
      <c r="A141" s="15"/>
      <c r="B141" s="1"/>
      <c r="C141" s="1">
        <v>583.19000000000005</v>
      </c>
      <c r="D141" s="4">
        <v>6.8940000000000001E-2</v>
      </c>
      <c r="E141" s="5">
        <v>2.9803199999999998E-3</v>
      </c>
      <c r="F141" s="5">
        <v>3.3079199999999998E-3</v>
      </c>
    </row>
    <row r="142" spans="1:6" x14ac:dyDescent="0.3">
      <c r="A142" s="15"/>
      <c r="B142" s="1"/>
      <c r="C142" s="1">
        <v>510.77</v>
      </c>
      <c r="D142" s="4">
        <v>3.7909999999999999E-2</v>
      </c>
      <c r="E142" s="5">
        <v>2.4731499999999999E-3</v>
      </c>
      <c r="F142" s="5">
        <v>3.6034399999999999E-3</v>
      </c>
    </row>
    <row r="143" spans="1:6" x14ac:dyDescent="0.3">
      <c r="A143" s="15"/>
      <c r="B143" s="1"/>
      <c r="C143" s="1">
        <v>860.56</v>
      </c>
      <c r="D143" s="5">
        <v>7.19762695E-3</v>
      </c>
      <c r="E143" s="5">
        <v>1.32362E-3</v>
      </c>
      <c r="F143" s="5">
        <v>2.3603500000000002E-3</v>
      </c>
    </row>
    <row r="144" spans="1:6" x14ac:dyDescent="0.3">
      <c r="A144" s="15">
        <v>13</v>
      </c>
      <c r="B144" s="1" t="s">
        <v>7</v>
      </c>
      <c r="C144" s="1">
        <v>351.93</v>
      </c>
      <c r="D144" s="4">
        <v>0.21238000000000001</v>
      </c>
      <c r="E144" s="5">
        <v>5.2516799999999999E-3</v>
      </c>
      <c r="F144" s="5">
        <v>5.7945200000000001E-3</v>
      </c>
    </row>
    <row r="145" spans="1:6" x14ac:dyDescent="0.3">
      <c r="A145" s="15"/>
      <c r="B145" s="1"/>
      <c r="C145" s="1">
        <v>295.22000000000003</v>
      </c>
      <c r="D145" s="4">
        <v>0.12179</v>
      </c>
      <c r="E145" s="5">
        <v>4.9355700000000002E-3</v>
      </c>
      <c r="F145" s="5">
        <v>8.1173700000000005E-3</v>
      </c>
    </row>
    <row r="146" spans="1:6" x14ac:dyDescent="0.3">
      <c r="A146" s="15"/>
      <c r="B146" s="1" t="s">
        <v>8</v>
      </c>
      <c r="C146" s="1">
        <v>609.32000000000005</v>
      </c>
      <c r="D146" s="4">
        <v>0.14463000000000001</v>
      </c>
      <c r="E146" s="5">
        <v>4.1789000000000001E-3</v>
      </c>
      <c r="F146" s="5">
        <v>3.9673800000000004E-3</v>
      </c>
    </row>
    <row r="147" spans="1:6" x14ac:dyDescent="0.3">
      <c r="A147" s="15"/>
      <c r="B147" s="1"/>
      <c r="C147" s="1">
        <v>1764.49</v>
      </c>
      <c r="D147" s="4">
        <v>2.0060000000000001E-2</v>
      </c>
      <c r="E147" s="5">
        <v>1.6548400000000001E-3</v>
      </c>
      <c r="F147" s="5">
        <v>1.9819199999999999E-3</v>
      </c>
    </row>
    <row r="148" spans="1:6" x14ac:dyDescent="0.3">
      <c r="A148" s="15"/>
      <c r="B148" s="1"/>
      <c r="C148" s="1">
        <v>1120.29</v>
      </c>
      <c r="D148" s="4">
        <v>2.9700000000000001E-2</v>
      </c>
      <c r="E148" s="5">
        <v>2.0657000000000002E-3</v>
      </c>
      <c r="F148" s="5">
        <v>2.6790099999999999E-3</v>
      </c>
    </row>
    <row r="149" spans="1:6" x14ac:dyDescent="0.3">
      <c r="A149" s="15"/>
      <c r="B149" s="1" t="s">
        <v>9</v>
      </c>
      <c r="C149" s="1">
        <v>1460.82</v>
      </c>
      <c r="D149" s="4">
        <v>1.3939999999999999E-2</v>
      </c>
      <c r="E149" s="5">
        <v>1.4499999999999999E-3</v>
      </c>
      <c r="F149" s="5">
        <v>2.00242E-3</v>
      </c>
    </row>
    <row r="150" spans="1:6" x14ac:dyDescent="0.3">
      <c r="A150" s="15"/>
      <c r="B150" s="1" t="s">
        <v>10</v>
      </c>
      <c r="C150" s="1">
        <v>238.63</v>
      </c>
      <c r="D150" s="4">
        <v>0.47843000000000002</v>
      </c>
      <c r="E150" s="5">
        <v>8.0756300000000003E-3</v>
      </c>
      <c r="F150" s="5">
        <v>9.7129E-3</v>
      </c>
    </row>
    <row r="151" spans="1:6" x14ac:dyDescent="0.3">
      <c r="A151" s="15"/>
      <c r="B151" s="1" t="s">
        <v>11</v>
      </c>
      <c r="C151" s="1">
        <v>911.21</v>
      </c>
      <c r="D151" s="4">
        <v>8.337E-2</v>
      </c>
      <c r="E151" s="5">
        <v>3.19514E-3</v>
      </c>
      <c r="F151" s="5">
        <v>3.15431E-3</v>
      </c>
    </row>
    <row r="152" spans="1:6" x14ac:dyDescent="0.3">
      <c r="A152" s="15"/>
      <c r="B152" s="1"/>
      <c r="C152" s="1">
        <v>968.97</v>
      </c>
      <c r="D152" s="4">
        <v>5.178E-2</v>
      </c>
      <c r="E152" s="5">
        <v>2.7525800000000001E-3</v>
      </c>
      <c r="F152" s="5">
        <v>3.6452899999999998E-3</v>
      </c>
    </row>
    <row r="153" spans="1:6" x14ac:dyDescent="0.3">
      <c r="A153" s="15"/>
      <c r="B153" s="1"/>
      <c r="C153" s="1">
        <v>338.32</v>
      </c>
      <c r="D153" s="4">
        <v>8.7249999999999994E-2</v>
      </c>
      <c r="E153" s="5">
        <v>3.9284300000000001E-3</v>
      </c>
      <c r="F153" s="5">
        <v>6.0510199999999998E-3</v>
      </c>
    </row>
    <row r="154" spans="1:6" x14ac:dyDescent="0.3">
      <c r="A154" s="15"/>
      <c r="B154" s="1" t="s">
        <v>12</v>
      </c>
      <c r="C154" s="1">
        <v>2614.5300000000002</v>
      </c>
      <c r="D154" s="4">
        <v>4.8430000000000001E-2</v>
      </c>
      <c r="E154" s="5">
        <v>2.2425100000000001E-3</v>
      </c>
      <c r="F154" s="5">
        <v>1.06375E-3</v>
      </c>
    </row>
    <row r="155" spans="1:6" x14ac:dyDescent="0.3">
      <c r="A155" s="15"/>
      <c r="B155" s="1"/>
      <c r="C155" s="1">
        <v>583.19000000000005</v>
      </c>
      <c r="D155" s="4">
        <v>0.13305</v>
      </c>
      <c r="E155" s="5">
        <v>4.0637199999999998E-3</v>
      </c>
      <c r="F155" s="5">
        <v>4.1927400000000004E-3</v>
      </c>
    </row>
    <row r="156" spans="1:6" x14ac:dyDescent="0.3">
      <c r="A156" s="15"/>
      <c r="B156" s="1"/>
      <c r="C156" s="1">
        <v>510.77</v>
      </c>
      <c r="D156" s="4">
        <v>6.2619999999999995E-2</v>
      </c>
      <c r="E156" s="5">
        <v>3.20499E-3</v>
      </c>
      <c r="F156" s="5">
        <v>4.6746299999999999E-3</v>
      </c>
    </row>
    <row r="157" spans="1:6" x14ac:dyDescent="0.3">
      <c r="A157" s="15"/>
      <c r="B157" s="1"/>
      <c r="C157" s="1">
        <v>860.56</v>
      </c>
      <c r="D157" s="4">
        <v>1.439E-2</v>
      </c>
      <c r="E157" s="5">
        <v>1.7704800000000001E-3</v>
      </c>
      <c r="F157" s="5">
        <v>3.0457399999999999E-3</v>
      </c>
    </row>
    <row r="158" spans="1:6" x14ac:dyDescent="0.3">
      <c r="A158" s="15">
        <v>14</v>
      </c>
      <c r="B158" s="1" t="s">
        <v>7</v>
      </c>
      <c r="C158" s="1">
        <v>351.93</v>
      </c>
      <c r="D158" s="4">
        <v>0.14998</v>
      </c>
      <c r="E158" s="5">
        <v>4.4105000000000004E-3</v>
      </c>
      <c r="F158" s="5">
        <v>4.9530499999999996E-3</v>
      </c>
    </row>
    <row r="159" spans="1:6" x14ac:dyDescent="0.3">
      <c r="A159" s="15"/>
      <c r="B159" s="1"/>
      <c r="C159" s="1">
        <v>295.22000000000003</v>
      </c>
      <c r="D159" s="4">
        <v>8.7660000000000002E-2</v>
      </c>
      <c r="E159" s="5">
        <v>4.2789899999999999E-3</v>
      </c>
      <c r="F159" s="5">
        <v>7.2191399999999998E-3</v>
      </c>
    </row>
    <row r="160" spans="1:6" x14ac:dyDescent="0.3">
      <c r="A160" s="15"/>
      <c r="B160" s="1" t="s">
        <v>8</v>
      </c>
      <c r="C160" s="1">
        <v>609.32000000000005</v>
      </c>
      <c r="D160" s="4">
        <v>0.10538</v>
      </c>
      <c r="E160" s="5">
        <v>3.5986500000000001E-3</v>
      </c>
      <c r="F160" s="5">
        <v>3.6541E-3</v>
      </c>
    </row>
    <row r="161" spans="1:6" x14ac:dyDescent="0.3">
      <c r="A161" s="15"/>
      <c r="B161" s="1"/>
      <c r="C161" s="1">
        <v>1764.49</v>
      </c>
      <c r="D161" s="4">
        <v>1.6660000000000001E-2</v>
      </c>
      <c r="E161" s="5">
        <v>1.46999E-3</v>
      </c>
      <c r="F161" s="5">
        <v>1.6850000000000001E-3</v>
      </c>
    </row>
    <row r="162" spans="1:6" x14ac:dyDescent="0.3">
      <c r="A162" s="15"/>
      <c r="B162" s="1"/>
      <c r="C162" s="1">
        <v>1120.29</v>
      </c>
      <c r="D162" s="4">
        <v>2.0570000000000001E-2</v>
      </c>
      <c r="E162" s="5">
        <v>1.7356800000000001E-3</v>
      </c>
      <c r="F162" s="5">
        <v>2.3336300000000002E-3</v>
      </c>
    </row>
    <row r="163" spans="1:6" x14ac:dyDescent="0.3">
      <c r="A163" s="15"/>
      <c r="B163" s="1" t="s">
        <v>9</v>
      </c>
      <c r="C163" s="1">
        <v>1460.82</v>
      </c>
      <c r="D163" s="5">
        <v>8.6172507000000006E-3</v>
      </c>
      <c r="E163" s="5">
        <v>1.24537E-3</v>
      </c>
      <c r="F163" s="5">
        <v>1.8514200000000001E-3</v>
      </c>
    </row>
    <row r="164" spans="1:6" x14ac:dyDescent="0.3">
      <c r="A164" s="15"/>
      <c r="B164" s="1" t="s">
        <v>10</v>
      </c>
      <c r="C164" s="1">
        <v>238.63</v>
      </c>
      <c r="D164" s="4">
        <v>0.33084999999999998</v>
      </c>
      <c r="E164" s="5">
        <v>6.8125700000000004E-3</v>
      </c>
      <c r="F164" s="5">
        <v>8.4440999999999995E-3</v>
      </c>
    </row>
    <row r="165" spans="1:6" x14ac:dyDescent="0.3">
      <c r="A165" s="15"/>
      <c r="B165" s="1" t="s">
        <v>11</v>
      </c>
      <c r="C165" s="1">
        <v>911.21</v>
      </c>
      <c r="D165" s="4">
        <v>6.3729999999999995E-2</v>
      </c>
      <c r="E165" s="5">
        <v>2.7714599999999999E-3</v>
      </c>
      <c r="F165" s="5">
        <v>2.7714599999999999E-3</v>
      </c>
    </row>
    <row r="166" spans="1:6" x14ac:dyDescent="0.3">
      <c r="A166" s="15"/>
      <c r="B166" s="1"/>
      <c r="C166" s="1">
        <v>968.97</v>
      </c>
      <c r="D166" s="4">
        <v>3.4470000000000001E-2</v>
      </c>
      <c r="E166" s="5">
        <v>2.2536000000000001E-3</v>
      </c>
      <c r="F166" s="6">
        <v>3.0225500000000001E-3</v>
      </c>
    </row>
    <row r="167" spans="1:6" x14ac:dyDescent="0.3">
      <c r="A167" s="15"/>
      <c r="B167" s="1"/>
      <c r="C167" s="1">
        <v>338.32</v>
      </c>
      <c r="D167" s="4">
        <v>5.9709999999999999E-2</v>
      </c>
      <c r="E167" s="5">
        <v>3.43911E-3</v>
      </c>
      <c r="F167" s="5">
        <v>5.6309400000000001E-3</v>
      </c>
    </row>
    <row r="168" spans="1:6" x14ac:dyDescent="0.3">
      <c r="A168" s="15"/>
      <c r="B168" s="1" t="s">
        <v>12</v>
      </c>
      <c r="C168" s="1">
        <v>2614.5300000000002</v>
      </c>
      <c r="D168" s="4">
        <v>3.6650000000000002E-2</v>
      </c>
      <c r="E168" s="5">
        <v>1.9557200000000002E-3</v>
      </c>
      <c r="F168" s="5">
        <v>9.8108200000000009E-4</v>
      </c>
    </row>
    <row r="169" spans="1:6" x14ac:dyDescent="0.3">
      <c r="A169" s="15"/>
      <c r="B169" s="1"/>
      <c r="C169" s="1">
        <v>583.19000000000005</v>
      </c>
      <c r="D169" s="4">
        <v>9.7339999999999996E-2</v>
      </c>
      <c r="E169" s="5">
        <v>3.48402E-3</v>
      </c>
      <c r="F169" s="5">
        <v>3.6104499999999999E-3</v>
      </c>
    </row>
    <row r="170" spans="1:6" x14ac:dyDescent="0.3">
      <c r="A170" s="15"/>
      <c r="B170" s="1"/>
      <c r="C170" s="1">
        <v>510.77</v>
      </c>
      <c r="D170" s="4">
        <v>4.9770000000000002E-2</v>
      </c>
      <c r="E170" s="5">
        <v>2.8821799999999998E-3</v>
      </c>
      <c r="F170" s="5">
        <v>4.2841199999999998E-3</v>
      </c>
    </row>
    <row r="171" spans="1:6" x14ac:dyDescent="0.3">
      <c r="A171" s="15"/>
      <c r="B171" s="1"/>
      <c r="C171" s="1">
        <v>860.56</v>
      </c>
      <c r="D171" s="4">
        <v>1.217E-2</v>
      </c>
      <c r="E171" s="5">
        <v>1.62027E-3</v>
      </c>
      <c r="F171" s="5">
        <v>2.8178000000000001E-3</v>
      </c>
    </row>
    <row r="172" spans="1:6" x14ac:dyDescent="0.3">
      <c r="A172" s="15">
        <v>15</v>
      </c>
      <c r="B172" s="1" t="s">
        <v>7</v>
      </c>
      <c r="C172" s="1">
        <v>351.93</v>
      </c>
      <c r="D172" s="4">
        <v>0.17501</v>
      </c>
      <c r="E172" s="5">
        <v>4.8876700000000002E-3</v>
      </c>
      <c r="F172" s="5">
        <v>5.7992399999999998E-3</v>
      </c>
    </row>
    <row r="173" spans="1:6" x14ac:dyDescent="0.3">
      <c r="A173" s="15"/>
      <c r="B173" s="1"/>
      <c r="C173" s="1">
        <v>295.22000000000003</v>
      </c>
      <c r="D173" s="4">
        <v>0.10199</v>
      </c>
      <c r="E173" s="5">
        <v>4.6363100000000003E-3</v>
      </c>
      <c r="F173" s="5">
        <v>7.8553800000000003E-3</v>
      </c>
    </row>
    <row r="174" spans="1:6" x14ac:dyDescent="0.3">
      <c r="A174" s="15"/>
      <c r="B174" s="1" t="s">
        <v>8</v>
      </c>
      <c r="C174" s="1">
        <v>609.32000000000005</v>
      </c>
      <c r="D174" s="4">
        <v>0.12770000000000001</v>
      </c>
      <c r="E174" s="5">
        <v>4.0061699999999999E-3</v>
      </c>
      <c r="F174" s="5">
        <v>4.1388199999999997E-3</v>
      </c>
    </row>
    <row r="175" spans="1:6" x14ac:dyDescent="0.3">
      <c r="A175" s="15"/>
      <c r="B175" s="1"/>
      <c r="C175" s="1">
        <v>1764.49</v>
      </c>
      <c r="D175" s="4">
        <v>1.7850000000000001E-2</v>
      </c>
      <c r="E175" s="5">
        <v>1.5340200000000001E-3</v>
      </c>
      <c r="F175" s="5">
        <v>1.79294E-3</v>
      </c>
    </row>
    <row r="176" spans="1:6" x14ac:dyDescent="0.3">
      <c r="A176" s="15"/>
      <c r="B176" s="1"/>
      <c r="C176" s="1">
        <v>1120.29</v>
      </c>
      <c r="D176" s="4">
        <v>2.4680000000000001E-2</v>
      </c>
      <c r="E176" s="5">
        <v>1.8688000000000001E-3</v>
      </c>
      <c r="F176" s="6">
        <v>2.4056300000000002E-3</v>
      </c>
    </row>
    <row r="177" spans="1:6" x14ac:dyDescent="0.3">
      <c r="A177" s="15"/>
      <c r="B177" s="1" t="s">
        <v>9</v>
      </c>
      <c r="C177" s="1">
        <v>1460.82</v>
      </c>
      <c r="D177" s="5">
        <v>3.1482319700000001E-3</v>
      </c>
      <c r="E177" s="5">
        <v>1.1479800000000001E-3</v>
      </c>
      <c r="F177" s="6">
        <v>2.0347799999999999E-3</v>
      </c>
    </row>
    <row r="178" spans="1:6" x14ac:dyDescent="0.3">
      <c r="A178" s="15"/>
      <c r="B178" s="1" t="s">
        <v>10</v>
      </c>
      <c r="C178" s="1">
        <v>238.63</v>
      </c>
      <c r="D178" s="4">
        <v>0.42560999999999999</v>
      </c>
      <c r="E178" s="5">
        <v>8.2687999999999998E-3</v>
      </c>
      <c r="F178" s="4">
        <v>1.115E-2</v>
      </c>
    </row>
    <row r="179" spans="1:6" x14ac:dyDescent="0.3">
      <c r="A179" s="15"/>
      <c r="B179" s="1" t="s">
        <v>11</v>
      </c>
      <c r="C179" s="1">
        <v>911.21</v>
      </c>
      <c r="D179" s="4">
        <v>9.2730000000000007E-2</v>
      </c>
      <c r="E179" s="5">
        <v>3.2951399999999998E-3</v>
      </c>
      <c r="F179" s="5">
        <v>2.9872399999999999E-3</v>
      </c>
    </row>
    <row r="180" spans="1:6" x14ac:dyDescent="0.3">
      <c r="A180" s="15"/>
      <c r="B180" s="1"/>
      <c r="C180" s="1">
        <v>968.97</v>
      </c>
      <c r="D180" s="4">
        <v>3.5680000000000003E-2</v>
      </c>
      <c r="E180" s="5">
        <v>2.6433699999999999E-3</v>
      </c>
      <c r="F180" s="5">
        <v>4.2535200000000002E-3</v>
      </c>
    </row>
    <row r="181" spans="1:6" x14ac:dyDescent="0.3">
      <c r="A181" s="15"/>
      <c r="B181" s="1"/>
      <c r="C181" s="1">
        <v>338.32</v>
      </c>
      <c r="D181" s="4">
        <v>8.7179999999999994E-2</v>
      </c>
      <c r="E181" s="5">
        <v>3.7514699999999998E-3</v>
      </c>
      <c r="F181" s="5">
        <v>5.33593E-3</v>
      </c>
    </row>
    <row r="182" spans="1:6" x14ac:dyDescent="0.3">
      <c r="A182" s="15"/>
      <c r="B182" s="1" t="s">
        <v>12</v>
      </c>
      <c r="C182" s="1">
        <v>2614.5300000000002</v>
      </c>
      <c r="D182" s="4">
        <v>4.9189999999999998E-2</v>
      </c>
      <c r="E182" s="5">
        <v>2.2810999999999999E-3</v>
      </c>
      <c r="F182" s="6">
        <v>1.2922299999999999E-3</v>
      </c>
    </row>
    <row r="183" spans="1:6" x14ac:dyDescent="0.3">
      <c r="A183" s="15"/>
      <c r="B183" s="1"/>
      <c r="C183" s="1">
        <v>583.19000000000005</v>
      </c>
      <c r="D183" s="4">
        <v>0.14252999999999999</v>
      </c>
      <c r="E183" s="5">
        <v>4.19937E-3</v>
      </c>
      <c r="F183" s="5">
        <v>4.3057199999999999E-3</v>
      </c>
    </row>
    <row r="184" spans="1:6" x14ac:dyDescent="0.3">
      <c r="A184" s="15"/>
      <c r="B184" s="1"/>
      <c r="C184" s="1">
        <v>510.77</v>
      </c>
      <c r="D184" s="4">
        <v>6.3490000000000005E-2</v>
      </c>
      <c r="E184" s="5">
        <v>3.2726000000000001E-3</v>
      </c>
      <c r="F184" s="5">
        <v>4.8861199999999999E-3</v>
      </c>
    </row>
    <row r="185" spans="1:6" x14ac:dyDescent="0.3">
      <c r="A185" s="15"/>
      <c r="B185" s="1"/>
      <c r="C185" s="1">
        <v>860.56</v>
      </c>
      <c r="D185" s="4">
        <v>1.5859999999999999E-2</v>
      </c>
      <c r="E185" s="5">
        <v>1.7294000000000001E-3</v>
      </c>
      <c r="F185" s="6">
        <v>2.7943299999999998E-3</v>
      </c>
    </row>
    <row r="186" spans="1:6" x14ac:dyDescent="0.3">
      <c r="A186" s="15">
        <v>16</v>
      </c>
      <c r="B186" s="1" t="s">
        <v>7</v>
      </c>
      <c r="C186" s="1">
        <v>351.93</v>
      </c>
      <c r="D186" s="4">
        <v>8.9080000000000006E-2</v>
      </c>
      <c r="E186" s="5">
        <v>3.5263999999999998E-3</v>
      </c>
      <c r="F186" s="5">
        <v>4.4069399999999998E-3</v>
      </c>
    </row>
    <row r="187" spans="1:6" x14ac:dyDescent="0.3">
      <c r="A187" s="15"/>
      <c r="B187" s="1"/>
      <c r="C187" s="1">
        <v>295.22000000000003</v>
      </c>
      <c r="D187" s="4">
        <v>5.5109999999999999E-2</v>
      </c>
      <c r="E187" s="5">
        <v>3.42523E-3</v>
      </c>
      <c r="F187" s="5">
        <v>5.77598E-3</v>
      </c>
    </row>
    <row r="188" spans="1:6" x14ac:dyDescent="0.3">
      <c r="A188" s="15"/>
      <c r="B188" s="1" t="s">
        <v>8</v>
      </c>
      <c r="C188" s="1">
        <v>609.32000000000005</v>
      </c>
      <c r="D188" s="4">
        <v>6.132E-2</v>
      </c>
      <c r="E188" s="5">
        <v>2.8087300000000002E-3</v>
      </c>
      <c r="F188" s="5">
        <v>3.1142299999999999E-3</v>
      </c>
    </row>
    <row r="189" spans="1:6" x14ac:dyDescent="0.3">
      <c r="A189" s="15"/>
      <c r="B189" s="1"/>
      <c r="C189" s="1">
        <v>1764.49</v>
      </c>
      <c r="D189" s="4">
        <v>0</v>
      </c>
      <c r="E189" s="5">
        <v>0</v>
      </c>
      <c r="F189" s="5">
        <v>0</v>
      </c>
    </row>
    <row r="190" spans="1:6" x14ac:dyDescent="0.3">
      <c r="A190" s="15"/>
      <c r="B190" s="1"/>
      <c r="C190" s="1">
        <v>1120.29</v>
      </c>
      <c r="D190" s="4">
        <v>1.2200000000000001E-2</v>
      </c>
      <c r="E190" s="5">
        <v>1.43056E-3</v>
      </c>
      <c r="F190" s="5">
        <v>2.17856E-3</v>
      </c>
    </row>
    <row r="191" spans="1:6" x14ac:dyDescent="0.3">
      <c r="A191" s="15"/>
      <c r="B191" s="1" t="s">
        <v>9</v>
      </c>
      <c r="C191" s="1">
        <v>1460.82</v>
      </c>
      <c r="D191" s="5">
        <v>6.18397033E-3</v>
      </c>
      <c r="E191" s="5">
        <v>1.10778E-3</v>
      </c>
      <c r="F191" s="6">
        <v>1.83172E-3</v>
      </c>
    </row>
    <row r="192" spans="1:6" x14ac:dyDescent="0.3">
      <c r="A192" s="15"/>
      <c r="B192" s="1" t="s">
        <v>10</v>
      </c>
      <c r="C192" s="1">
        <v>238.63</v>
      </c>
      <c r="D192" s="4">
        <v>0.17946000000000001</v>
      </c>
      <c r="E192" s="5">
        <v>5.0819300000000001E-3</v>
      </c>
      <c r="F192" s="5">
        <v>6.4757599999999997E-3</v>
      </c>
    </row>
    <row r="193" spans="1:6" x14ac:dyDescent="0.3">
      <c r="A193" s="15"/>
      <c r="B193" s="1" t="s">
        <v>11</v>
      </c>
      <c r="C193" s="1">
        <v>911.21</v>
      </c>
      <c r="D193" s="4">
        <v>3.3410000000000002E-2</v>
      </c>
      <c r="E193" s="5">
        <v>2.0698800000000001E-3</v>
      </c>
      <c r="F193" s="5">
        <v>2.19981E-3</v>
      </c>
    </row>
    <row r="194" spans="1:6" x14ac:dyDescent="0.3">
      <c r="A194" s="15"/>
      <c r="B194" s="1"/>
      <c r="C194" s="1">
        <v>968.97</v>
      </c>
      <c r="D194" s="4">
        <v>1.3520000000000001E-2</v>
      </c>
      <c r="E194" s="5">
        <v>1.63922E-3</v>
      </c>
      <c r="F194" s="5">
        <v>2.7116200000000001E-3</v>
      </c>
    </row>
    <row r="195" spans="1:6" x14ac:dyDescent="0.3">
      <c r="A195" s="15"/>
      <c r="B195" s="1"/>
      <c r="C195" s="1">
        <v>338.32</v>
      </c>
      <c r="D195" s="4">
        <v>2.9590000000000002E-2</v>
      </c>
      <c r="E195" s="5">
        <v>2.444E-3</v>
      </c>
      <c r="F195" s="5">
        <v>4.0412699999999996E-3</v>
      </c>
    </row>
    <row r="196" spans="1:6" x14ac:dyDescent="0.3">
      <c r="A196" s="15"/>
      <c r="B196" s="1" t="s">
        <v>12</v>
      </c>
      <c r="C196" s="1">
        <v>2614.5300000000002</v>
      </c>
      <c r="D196" s="4">
        <v>0</v>
      </c>
      <c r="E196" s="5">
        <v>0</v>
      </c>
      <c r="F196" s="5">
        <v>0</v>
      </c>
    </row>
    <row r="197" spans="1:6" x14ac:dyDescent="0.3">
      <c r="A197" s="15"/>
      <c r="B197" s="1"/>
      <c r="C197" s="1">
        <v>583.19000000000005</v>
      </c>
      <c r="D197" s="4">
        <v>5.364E-2</v>
      </c>
      <c r="E197" s="5">
        <v>2.6927600000000002E-3</v>
      </c>
      <c r="F197" s="5">
        <v>3.23187E-3</v>
      </c>
    </row>
    <row r="198" spans="1:6" x14ac:dyDescent="0.3">
      <c r="A198" s="15"/>
      <c r="B198" s="1"/>
      <c r="C198" s="1">
        <v>510.77</v>
      </c>
      <c r="D198" s="4">
        <v>3.406E-2</v>
      </c>
      <c r="E198" s="5">
        <v>2.48869E-3</v>
      </c>
      <c r="F198" s="5">
        <v>3.9120500000000002E-3</v>
      </c>
    </row>
    <row r="199" spans="1:6" x14ac:dyDescent="0.3">
      <c r="A199" s="15"/>
      <c r="B199" s="1"/>
      <c r="C199" s="1">
        <v>860.56</v>
      </c>
      <c r="D199" s="4">
        <v>0</v>
      </c>
      <c r="E199" s="5">
        <v>0</v>
      </c>
      <c r="F199" s="5">
        <v>0</v>
      </c>
    </row>
    <row r="200" spans="1:6" x14ac:dyDescent="0.3">
      <c r="A200" s="15">
        <v>18</v>
      </c>
      <c r="B200" s="1" t="s">
        <v>7</v>
      </c>
      <c r="C200" s="1">
        <v>351.93</v>
      </c>
      <c r="D200" s="4">
        <v>0.15054000000000001</v>
      </c>
      <c r="E200" s="5">
        <v>4.44153E-3</v>
      </c>
      <c r="F200" s="5">
        <v>4.9772200000000001E-3</v>
      </c>
    </row>
    <row r="201" spans="1:6" x14ac:dyDescent="0.3">
      <c r="A201" s="15"/>
      <c r="B201" s="1"/>
      <c r="C201" s="1">
        <v>295.22000000000003</v>
      </c>
      <c r="D201" s="4">
        <v>8.2790000000000002E-2</v>
      </c>
      <c r="E201" s="5">
        <v>4.2491999999999999E-3</v>
      </c>
      <c r="F201" s="5">
        <v>7.2506100000000002E-3</v>
      </c>
    </row>
    <row r="202" spans="1:6" x14ac:dyDescent="0.3">
      <c r="A202" s="15"/>
      <c r="B202" s="1" t="s">
        <v>8</v>
      </c>
      <c r="C202" s="1">
        <v>609.32000000000005</v>
      </c>
      <c r="D202" s="4">
        <v>0.10206</v>
      </c>
      <c r="E202" s="5">
        <v>3.6452500000000001E-3</v>
      </c>
      <c r="F202" s="5">
        <v>4.1193799999999997E-3</v>
      </c>
    </row>
    <row r="203" spans="1:6" x14ac:dyDescent="0.3">
      <c r="A203" s="15"/>
      <c r="B203" s="1"/>
      <c r="C203" s="1">
        <v>1764.49</v>
      </c>
      <c r="D203" s="4">
        <v>1.636E-2</v>
      </c>
      <c r="E203" s="5">
        <v>1.4688399999999999E-3</v>
      </c>
      <c r="F203" s="5">
        <v>1.70991E-3</v>
      </c>
    </row>
    <row r="204" spans="1:6" x14ac:dyDescent="0.3">
      <c r="A204" s="15"/>
      <c r="B204" s="1"/>
      <c r="C204" s="1">
        <v>1120.29</v>
      </c>
      <c r="D204" s="4">
        <v>2.0889999999999999E-2</v>
      </c>
      <c r="E204" s="5">
        <v>1.7983700000000001E-3</v>
      </c>
      <c r="F204" s="5">
        <v>2.4890300000000001E-3</v>
      </c>
    </row>
    <row r="205" spans="1:6" x14ac:dyDescent="0.3">
      <c r="A205" s="15"/>
      <c r="B205" s="1" t="s">
        <v>9</v>
      </c>
      <c r="C205" s="1">
        <v>1460.82</v>
      </c>
      <c r="D205" s="4">
        <v>0</v>
      </c>
      <c r="E205" s="5">
        <v>0</v>
      </c>
      <c r="F205" s="5">
        <v>0</v>
      </c>
    </row>
    <row r="206" spans="1:6" x14ac:dyDescent="0.3">
      <c r="A206" s="15"/>
      <c r="B206" s="1" t="s">
        <v>10</v>
      </c>
      <c r="C206" s="1">
        <v>238.63</v>
      </c>
      <c r="D206" s="4">
        <v>0.47765999999999997</v>
      </c>
      <c r="E206" s="5">
        <v>7.9113499999999993E-3</v>
      </c>
      <c r="F206" s="5">
        <v>8.9643499999999994E-3</v>
      </c>
    </row>
    <row r="207" spans="1:6" x14ac:dyDescent="0.3">
      <c r="A207" s="15"/>
      <c r="B207" s="1" t="s">
        <v>11</v>
      </c>
      <c r="C207" s="1">
        <v>911.21</v>
      </c>
      <c r="D207" s="4">
        <v>8.5730000000000001E-2</v>
      </c>
      <c r="E207" s="5">
        <v>3.1718200000000001E-3</v>
      </c>
      <c r="F207" s="5">
        <v>2.8810300000000001E-3</v>
      </c>
    </row>
    <row r="208" spans="1:6" x14ac:dyDescent="0.3">
      <c r="A208" s="15"/>
      <c r="B208" s="1"/>
      <c r="C208" s="1">
        <v>968.97</v>
      </c>
      <c r="D208" s="4">
        <v>4.7320000000000001E-2</v>
      </c>
      <c r="E208" s="5">
        <v>2.5807999999999998E-3</v>
      </c>
      <c r="F208" s="5">
        <v>3.2609599999999998E-3</v>
      </c>
    </row>
    <row r="209" spans="1:6" x14ac:dyDescent="0.3">
      <c r="A209" s="15"/>
      <c r="B209" s="1"/>
      <c r="C209" s="1">
        <v>338.32</v>
      </c>
      <c r="D209" s="4">
        <v>8.1869999999999998E-2</v>
      </c>
      <c r="E209" s="5">
        <v>3.7394799999999999E-3</v>
      </c>
      <c r="F209" s="5">
        <v>5.6136800000000002E-3</v>
      </c>
    </row>
    <row r="210" spans="1:6" x14ac:dyDescent="0.3">
      <c r="A210" s="15"/>
      <c r="B210" s="1" t="s">
        <v>12</v>
      </c>
      <c r="C210" s="1">
        <v>2614.5300000000002</v>
      </c>
      <c r="D210" s="4">
        <v>4.5440000000000001E-2</v>
      </c>
      <c r="E210" s="5">
        <v>2.2050199999999998E-3</v>
      </c>
      <c r="F210" s="5">
        <v>1.31774E-3</v>
      </c>
    </row>
    <row r="211" spans="1:6" x14ac:dyDescent="0.3">
      <c r="A211" s="15"/>
      <c r="B211" s="1"/>
      <c r="C211" s="1">
        <v>583.19000000000005</v>
      </c>
      <c r="D211" s="4">
        <v>0.13012000000000001</v>
      </c>
      <c r="E211" s="5">
        <v>4.0830500000000004E-3</v>
      </c>
      <c r="F211" s="5">
        <v>4.3761700000000004E-3</v>
      </c>
    </row>
    <row r="212" spans="1:6" x14ac:dyDescent="0.3">
      <c r="A212" s="15"/>
      <c r="B212" s="1"/>
      <c r="C212" s="1">
        <v>510.77</v>
      </c>
      <c r="D212" s="4">
        <v>6.0999999999999999E-2</v>
      </c>
      <c r="E212" s="5">
        <v>3.1537800000000001E-3</v>
      </c>
      <c r="F212" s="5">
        <v>4.5626499999999997E-3</v>
      </c>
    </row>
    <row r="213" spans="1:6" x14ac:dyDescent="0.3">
      <c r="A213" s="15"/>
      <c r="B213" s="1"/>
      <c r="C213" s="1">
        <v>860.56</v>
      </c>
      <c r="D213" s="4">
        <v>1.3809999999999999E-2</v>
      </c>
      <c r="E213" s="5">
        <v>1.71901E-3</v>
      </c>
      <c r="F213" s="5">
        <v>2.9659199999999999E-3</v>
      </c>
    </row>
    <row r="214" spans="1:6" x14ac:dyDescent="0.3">
      <c r="A214" s="15">
        <v>19</v>
      </c>
      <c r="B214" s="1" t="s">
        <v>7</v>
      </c>
      <c r="C214" s="1">
        <v>351.93</v>
      </c>
      <c r="D214" s="4">
        <v>0.28172999999999998</v>
      </c>
      <c r="E214" s="5">
        <v>6.2843300000000003E-3</v>
      </c>
      <c r="F214" s="5">
        <v>7.8311700000000001E-3</v>
      </c>
    </row>
    <row r="215" spans="1:6" x14ac:dyDescent="0.3">
      <c r="A215" s="15"/>
      <c r="B215" s="1"/>
      <c r="C215" s="1">
        <v>295.22000000000003</v>
      </c>
      <c r="D215" s="4">
        <v>0.16786999999999999</v>
      </c>
      <c r="E215" s="5">
        <v>5.7942899999999997E-3</v>
      </c>
      <c r="F215" s="5">
        <v>9.38867E-3</v>
      </c>
    </row>
    <row r="216" spans="1:6" x14ac:dyDescent="0.3">
      <c r="A216" s="15"/>
      <c r="B216" s="1" t="s">
        <v>8</v>
      </c>
      <c r="C216" s="1">
        <v>609.32000000000005</v>
      </c>
      <c r="D216" s="4">
        <v>0.19653000000000001</v>
      </c>
      <c r="E216" s="5">
        <v>4.9661200000000001E-3</v>
      </c>
      <c r="F216" s="5">
        <v>5.2509200000000001E-3</v>
      </c>
    </row>
    <row r="217" spans="1:6" x14ac:dyDescent="0.3">
      <c r="A217" s="15"/>
      <c r="B217" s="1"/>
      <c r="C217" s="1">
        <v>1764.49</v>
      </c>
      <c r="D217" s="4">
        <v>3.1189999999999999E-2</v>
      </c>
      <c r="E217" s="5">
        <v>1.9596700000000002E-3</v>
      </c>
      <c r="F217" s="5">
        <v>1.99775E-3</v>
      </c>
    </row>
    <row r="218" spans="1:6" x14ac:dyDescent="0.3">
      <c r="A218" s="15"/>
      <c r="B218" s="1"/>
      <c r="C218" s="1">
        <v>1120.29</v>
      </c>
      <c r="D218" s="4">
        <v>3.9010000000000003E-2</v>
      </c>
      <c r="E218" s="5">
        <v>2.30912E-3</v>
      </c>
      <c r="F218" s="5">
        <v>2.8202600000000002E-3</v>
      </c>
    </row>
    <row r="219" spans="1:6" x14ac:dyDescent="0.3">
      <c r="A219" s="15"/>
      <c r="B219" s="1" t="s">
        <v>9</v>
      </c>
      <c r="C219" s="1">
        <v>1460.82</v>
      </c>
      <c r="D219" s="4">
        <v>1.6500000000000001E-2</v>
      </c>
      <c r="E219" s="5">
        <v>1.64123E-3</v>
      </c>
      <c r="F219" s="5">
        <v>2.4171800000000001E-3</v>
      </c>
    </row>
    <row r="220" spans="1:6" x14ac:dyDescent="0.3">
      <c r="A220" s="15"/>
      <c r="B220" s="1" t="s">
        <v>10</v>
      </c>
      <c r="C220" s="1">
        <v>238.63</v>
      </c>
      <c r="D220" s="4">
        <v>0.92406999999999995</v>
      </c>
      <c r="E220" s="4">
        <v>1.167E-2</v>
      </c>
      <c r="F220" s="4">
        <v>1.3939999999999999E-2</v>
      </c>
    </row>
    <row r="221" spans="1:6" x14ac:dyDescent="0.3">
      <c r="A221" s="15"/>
      <c r="B221" s="1" t="s">
        <v>11</v>
      </c>
      <c r="C221" s="1">
        <v>911.21</v>
      </c>
      <c r="D221" s="4">
        <v>0.18839</v>
      </c>
      <c r="E221" s="5">
        <v>4.6382699999999999E-3</v>
      </c>
      <c r="F221" s="5">
        <v>3.8499599999999999E-3</v>
      </c>
    </row>
    <row r="222" spans="1:6" x14ac:dyDescent="0.3">
      <c r="A222" s="15"/>
      <c r="B222" s="1"/>
      <c r="C222" s="1">
        <v>968.97</v>
      </c>
      <c r="D222" s="4">
        <v>0.11061</v>
      </c>
      <c r="E222" s="5">
        <v>3.7268100000000001E-3</v>
      </c>
      <c r="F222" s="5">
        <v>3.9639100000000002E-3</v>
      </c>
    </row>
    <row r="223" spans="1:6" x14ac:dyDescent="0.3">
      <c r="A223" s="15"/>
      <c r="B223" s="1"/>
      <c r="C223" s="1">
        <v>338.32</v>
      </c>
      <c r="D223" s="4">
        <v>0.18970000000000001</v>
      </c>
      <c r="E223" s="5">
        <v>5.7201700000000001E-3</v>
      </c>
      <c r="F223" s="5">
        <v>8.4807700000000003E-3</v>
      </c>
    </row>
    <row r="224" spans="1:6" x14ac:dyDescent="0.3">
      <c r="A224" s="15"/>
      <c r="B224" s="1" t="s">
        <v>12</v>
      </c>
      <c r="C224" s="1">
        <v>2614.5300000000002</v>
      </c>
      <c r="D224" s="4">
        <v>0</v>
      </c>
      <c r="E224" s="5">
        <v>0</v>
      </c>
      <c r="F224" s="5">
        <v>0</v>
      </c>
    </row>
    <row r="225" spans="1:6" x14ac:dyDescent="0.3">
      <c r="A225" s="15"/>
      <c r="B225" s="1"/>
      <c r="C225" s="1">
        <v>583.19000000000005</v>
      </c>
      <c r="D225" s="4">
        <v>0.29579</v>
      </c>
      <c r="E225" s="5">
        <v>5.9711599999999997E-3</v>
      </c>
      <c r="F225" s="5">
        <v>5.7482599999999998E-3</v>
      </c>
    </row>
    <row r="226" spans="1:6" x14ac:dyDescent="0.3">
      <c r="A226" s="15"/>
      <c r="B226" s="1"/>
      <c r="C226" s="1">
        <v>510.77</v>
      </c>
      <c r="D226" s="4">
        <v>0.11058</v>
      </c>
      <c r="E226" s="5">
        <v>4.3191899999999997E-3</v>
      </c>
      <c r="F226" s="5">
        <v>6.4472000000000002E-3</v>
      </c>
    </row>
    <row r="227" spans="1:6" x14ac:dyDescent="0.3">
      <c r="A227" s="15"/>
      <c r="B227" s="1"/>
      <c r="C227" s="1">
        <v>860.56</v>
      </c>
      <c r="D227" s="4">
        <v>3.1309999999999998E-2</v>
      </c>
      <c r="E227" s="5">
        <v>2.3140399999999998E-3</v>
      </c>
      <c r="F227" s="5">
        <v>3.3713300000000001E-3</v>
      </c>
    </row>
    <row r="228" spans="1:6" x14ac:dyDescent="0.3">
      <c r="A228" s="15">
        <v>20</v>
      </c>
      <c r="B228" s="1" t="s">
        <v>7</v>
      </c>
      <c r="C228" s="1">
        <v>351.93</v>
      </c>
      <c r="D228" s="4">
        <v>0.13000999999999999</v>
      </c>
      <c r="E228" s="5">
        <v>4.2511900000000002E-3</v>
      </c>
      <c r="F228" s="5">
        <v>5.2291200000000003E-3</v>
      </c>
    </row>
    <row r="229" spans="1:6" x14ac:dyDescent="0.3">
      <c r="A229" s="15"/>
      <c r="B229" s="1"/>
      <c r="C229" s="1">
        <v>295.22000000000003</v>
      </c>
      <c r="D229" s="4">
        <v>7.9460000000000003E-2</v>
      </c>
      <c r="E229" s="5">
        <v>4.2314900000000001E-3</v>
      </c>
      <c r="F229" s="5">
        <v>7.3317699999999996E-3</v>
      </c>
    </row>
    <row r="230" spans="1:6" x14ac:dyDescent="0.3">
      <c r="A230" s="15"/>
      <c r="B230" s="1" t="s">
        <v>8</v>
      </c>
      <c r="C230" s="1">
        <v>609.32000000000005</v>
      </c>
      <c r="D230" s="4">
        <v>9.3380000000000005E-2</v>
      </c>
      <c r="E230" s="5">
        <v>3.4376200000000002E-3</v>
      </c>
      <c r="F230" s="5">
        <v>3.6104499999999999E-3</v>
      </c>
    </row>
    <row r="231" spans="1:6" x14ac:dyDescent="0.3">
      <c r="A231" s="15"/>
      <c r="B231" s="1"/>
      <c r="C231" s="1">
        <v>1764.49</v>
      </c>
      <c r="D231" s="4">
        <v>1.4749999999999999E-2</v>
      </c>
      <c r="E231" s="5">
        <v>1.3650699999999999E-3</v>
      </c>
      <c r="F231" s="5">
        <v>1.51581E-3</v>
      </c>
    </row>
    <row r="232" spans="1:6" x14ac:dyDescent="0.3">
      <c r="A232" s="15"/>
      <c r="B232" s="1"/>
      <c r="C232" s="1">
        <v>1120.29</v>
      </c>
      <c r="D232" s="4">
        <v>1.721E-2</v>
      </c>
      <c r="E232" s="5">
        <v>1.6538E-3</v>
      </c>
      <c r="F232" s="7">
        <v>2.3677099999999999E-3</v>
      </c>
    </row>
    <row r="233" spans="1:6" x14ac:dyDescent="0.3">
      <c r="A233" s="15"/>
      <c r="B233" s="1" t="s">
        <v>9</v>
      </c>
      <c r="C233" s="1">
        <v>1460.82</v>
      </c>
      <c r="D233" s="5">
        <v>9.49191284E-3</v>
      </c>
      <c r="E233" s="5">
        <v>1.26223E-3</v>
      </c>
      <c r="F233" s="5">
        <v>1.8957500000000001E-3</v>
      </c>
    </row>
    <row r="234" spans="1:6" x14ac:dyDescent="0.3">
      <c r="A234" s="15"/>
      <c r="B234" s="1" t="s">
        <v>10</v>
      </c>
      <c r="C234" s="1">
        <v>238.63</v>
      </c>
      <c r="D234" s="4">
        <v>0.42687000000000003</v>
      </c>
      <c r="E234" s="5">
        <v>7.4739300000000002E-3</v>
      </c>
      <c r="F234" s="5">
        <v>8.4754099999999992E-3</v>
      </c>
    </row>
    <row r="235" spans="1:6" x14ac:dyDescent="0.3">
      <c r="A235" s="15"/>
      <c r="B235" s="1" t="s">
        <v>11</v>
      </c>
      <c r="C235" s="1">
        <v>911.21</v>
      </c>
      <c r="D235" s="1">
        <v>7.5020000000000003E-2</v>
      </c>
      <c r="E235" s="5">
        <v>2.9868500000000001E-3</v>
      </c>
      <c r="F235" s="6">
        <v>2.8058900000000001E-3</v>
      </c>
    </row>
    <row r="236" spans="1:6" x14ac:dyDescent="0.3">
      <c r="A236" s="15"/>
      <c r="B236" s="1"/>
      <c r="C236" s="1">
        <v>968.97</v>
      </c>
      <c r="D236" s="4">
        <v>4.367E-2</v>
      </c>
      <c r="E236" s="5">
        <v>2.4686600000000001E-3</v>
      </c>
      <c r="F236" s="5">
        <v>3.1097899999999999E-3</v>
      </c>
    </row>
    <row r="237" spans="1:6" x14ac:dyDescent="0.3">
      <c r="A237" s="15"/>
      <c r="B237" s="1"/>
      <c r="C237" s="1">
        <v>338.32</v>
      </c>
      <c r="D237" s="4">
        <v>7.6660000000000006E-2</v>
      </c>
      <c r="E237" s="5">
        <v>3.5753099999999999E-3</v>
      </c>
      <c r="F237" s="5">
        <v>5.2959699999999997E-3</v>
      </c>
    </row>
    <row r="238" spans="1:6" x14ac:dyDescent="0.3">
      <c r="A238" s="15"/>
      <c r="B238" s="1" t="s">
        <v>12</v>
      </c>
      <c r="C238" s="1">
        <v>2614.5300000000002</v>
      </c>
      <c r="D238" s="4">
        <v>4.3700000000000003E-2</v>
      </c>
      <c r="E238" s="5">
        <v>2.1492999999999998E-3</v>
      </c>
      <c r="F238" s="5">
        <v>1.18939E-3</v>
      </c>
    </row>
    <row r="239" spans="1:6" x14ac:dyDescent="0.3">
      <c r="A239" s="15"/>
      <c r="B239" s="1"/>
      <c r="C239" s="1">
        <v>583.19000000000005</v>
      </c>
      <c r="D239" s="4">
        <v>0.11695</v>
      </c>
      <c r="E239" s="5">
        <v>3.81752E-3</v>
      </c>
      <c r="F239" s="5">
        <v>3.96043E-3</v>
      </c>
    </row>
    <row r="240" spans="1:6" x14ac:dyDescent="0.3">
      <c r="A240" s="15"/>
      <c r="B240" s="1"/>
      <c r="C240" s="1">
        <v>510.77</v>
      </c>
      <c r="D240" s="4">
        <v>5.9040000000000002E-2</v>
      </c>
      <c r="E240" s="5">
        <v>3.0467599999999999E-3</v>
      </c>
      <c r="F240" s="5">
        <v>4.2913300000000003E-3</v>
      </c>
    </row>
    <row r="241" spans="1:6" x14ac:dyDescent="0.3">
      <c r="A241" s="15"/>
      <c r="B241" s="1"/>
      <c r="C241" s="1">
        <v>860.56</v>
      </c>
      <c r="D241" s="4">
        <v>1.2710000000000001E-2</v>
      </c>
      <c r="E241" s="5">
        <v>1.5153199999999999E-3</v>
      </c>
      <c r="F241" s="5">
        <v>2.4003200000000001E-3</v>
      </c>
    </row>
    <row r="242" spans="1:6" x14ac:dyDescent="0.3">
      <c r="A242" s="15">
        <v>21</v>
      </c>
      <c r="B242" s="1" t="s">
        <v>7</v>
      </c>
      <c r="C242" s="1">
        <v>351.93</v>
      </c>
      <c r="D242" s="4">
        <v>2.6600100000000002</v>
      </c>
      <c r="E242" s="4">
        <v>1.9099999999999999E-2</v>
      </c>
      <c r="F242" s="4">
        <v>2.298E-2</v>
      </c>
    </row>
    <row r="243" spans="1:6" x14ac:dyDescent="0.3">
      <c r="A243" s="15"/>
      <c r="B243" s="1"/>
      <c r="C243" s="1">
        <v>295.22000000000003</v>
      </c>
      <c r="D243" s="4">
        <v>1.56043</v>
      </c>
      <c r="E243" s="4">
        <v>1.8679999999999999E-2</v>
      </c>
      <c r="F243" s="4">
        <v>3.209E-2</v>
      </c>
    </row>
    <row r="244" spans="1:6" x14ac:dyDescent="0.3">
      <c r="A244" s="15"/>
      <c r="B244" s="1" t="s">
        <v>8</v>
      </c>
      <c r="C244" s="1">
        <v>609.32000000000005</v>
      </c>
      <c r="D244" s="4">
        <v>1.9222699999999999</v>
      </c>
      <c r="E244" s="4">
        <v>1.545E-2</v>
      </c>
      <c r="F244" s="4">
        <v>1.5859999999999999E-2</v>
      </c>
    </row>
    <row r="245" spans="1:6" x14ac:dyDescent="0.3">
      <c r="A245" s="15"/>
      <c r="B245" s="1"/>
      <c r="C245" s="1">
        <v>1764.49</v>
      </c>
      <c r="D245" s="4">
        <v>0.30471999999999999</v>
      </c>
      <c r="E245" s="5">
        <v>6.0929000000000001E-3</v>
      </c>
      <c r="F245" s="5">
        <v>5.98965E-3</v>
      </c>
    </row>
    <row r="246" spans="1:6" x14ac:dyDescent="0.3">
      <c r="A246" s="15"/>
      <c r="B246" s="1"/>
      <c r="C246" s="1">
        <v>1120.29</v>
      </c>
      <c r="D246" s="4">
        <v>0.39689000000000002</v>
      </c>
      <c r="E246" s="5">
        <v>7.3207799999999998E-3</v>
      </c>
      <c r="F246" s="5">
        <v>8.6342999999999993E-3</v>
      </c>
    </row>
    <row r="247" spans="1:6" x14ac:dyDescent="0.3">
      <c r="A247" s="15"/>
      <c r="B247" s="1" t="s">
        <v>9</v>
      </c>
      <c r="C247" s="1">
        <v>1460.82</v>
      </c>
      <c r="D247" s="4">
        <v>4.061E-2</v>
      </c>
      <c r="E247" s="5">
        <v>3.5623199999999999E-3</v>
      </c>
      <c r="F247" s="5">
        <v>6.86726E-3</v>
      </c>
    </row>
    <row r="248" spans="1:6" x14ac:dyDescent="0.3">
      <c r="A248" s="15"/>
      <c r="B248" s="1" t="s">
        <v>10</v>
      </c>
      <c r="C248" s="1">
        <v>238.63</v>
      </c>
      <c r="D248" s="4">
        <v>7.4075899999999999</v>
      </c>
      <c r="E248" s="4">
        <v>4.7489999999999997E-2</v>
      </c>
      <c r="F248" s="4">
        <v>4.53E-2</v>
      </c>
    </row>
    <row r="249" spans="1:6" x14ac:dyDescent="0.3">
      <c r="A249" s="15"/>
      <c r="B249" s="1" t="s">
        <v>11</v>
      </c>
      <c r="C249" s="1">
        <v>911.21</v>
      </c>
      <c r="D249" s="4">
        <v>1.75589</v>
      </c>
      <c r="E249" s="4">
        <v>1.4409999999999999E-2</v>
      </c>
      <c r="F249" s="4">
        <v>1.3129999999999999E-2</v>
      </c>
    </row>
    <row r="250" spans="1:6" x14ac:dyDescent="0.3">
      <c r="A250" s="15"/>
      <c r="B250" s="1"/>
      <c r="C250" s="1">
        <v>968.97</v>
      </c>
      <c r="D250" s="4">
        <v>1.00444</v>
      </c>
      <c r="E250" s="4">
        <v>1.1259999999999999E-2</v>
      </c>
      <c r="F250" s="4">
        <v>1.1900000000000001E-2</v>
      </c>
    </row>
    <row r="251" spans="1:6" x14ac:dyDescent="0.3">
      <c r="A251" s="15"/>
      <c r="B251" s="1"/>
      <c r="C251" s="1">
        <v>338.32</v>
      </c>
      <c r="D251" s="4">
        <v>1.7119899999999999</v>
      </c>
      <c r="E251" s="4">
        <v>2.0250000000000001E-2</v>
      </c>
      <c r="F251" s="4">
        <v>3.567E-2</v>
      </c>
    </row>
    <row r="252" spans="1:6" x14ac:dyDescent="0.3">
      <c r="A252" s="15"/>
      <c r="B252" s="1" t="s">
        <v>12</v>
      </c>
      <c r="C252" s="1">
        <v>2614.5300000000002</v>
      </c>
      <c r="D252" s="4">
        <v>0.89807000000000003</v>
      </c>
      <c r="E252" s="5">
        <v>9.5881300000000003E-3</v>
      </c>
      <c r="F252" s="5">
        <v>3.3781499999999999E-3</v>
      </c>
    </row>
    <row r="253" spans="1:6" x14ac:dyDescent="0.3">
      <c r="A253" s="15"/>
      <c r="B253" s="1"/>
      <c r="C253" s="1">
        <v>583.19000000000005</v>
      </c>
      <c r="D253" s="4">
        <v>2.6323400000000001</v>
      </c>
      <c r="E253" s="4">
        <v>1.7919999999999998E-2</v>
      </c>
      <c r="F253" s="4">
        <v>1.7649999999999999E-2</v>
      </c>
    </row>
    <row r="254" spans="1:6" x14ac:dyDescent="0.3">
      <c r="A254" s="15"/>
      <c r="B254" s="1"/>
      <c r="C254" s="1">
        <v>510.77</v>
      </c>
      <c r="D254" s="4">
        <v>0.85465000000000002</v>
      </c>
      <c r="E254" s="4">
        <v>1.184E-2</v>
      </c>
      <c r="F254" s="4">
        <v>1.6920000000000001E-2</v>
      </c>
    </row>
    <row r="255" spans="1:6" x14ac:dyDescent="0.3">
      <c r="A255" s="15"/>
      <c r="B255" s="1"/>
      <c r="C255" s="1">
        <v>860.56</v>
      </c>
      <c r="D255" s="4">
        <v>0.30096000000000001</v>
      </c>
      <c r="E255" s="5">
        <v>7.3312200000000003E-3</v>
      </c>
      <c r="F255" s="4">
        <v>1.123E-2</v>
      </c>
    </row>
    <row r="256" spans="1:6" x14ac:dyDescent="0.3">
      <c r="A256" s="15">
        <v>22</v>
      </c>
      <c r="B256" s="1" t="s">
        <v>7</v>
      </c>
      <c r="C256" s="1">
        <v>351.93</v>
      </c>
      <c r="D256" s="4">
        <v>3.1896800000000001</v>
      </c>
      <c r="E256" s="4">
        <v>2.138E-2</v>
      </c>
      <c r="F256" s="4">
        <v>2.6939999999999999E-2</v>
      </c>
    </row>
    <row r="257" spans="1:6" x14ac:dyDescent="0.3">
      <c r="A257" s="15"/>
      <c r="B257" s="1"/>
      <c r="C257" s="1">
        <v>295.22000000000003</v>
      </c>
      <c r="D257" s="4">
        <v>1.8618699999999999</v>
      </c>
      <c r="E257" s="4">
        <v>1.984E-2</v>
      </c>
      <c r="F257" s="4">
        <v>3.3439999999999998E-2</v>
      </c>
    </row>
    <row r="258" spans="1:6" x14ac:dyDescent="0.3">
      <c r="A258" s="15"/>
      <c r="B258" s="1" t="s">
        <v>8</v>
      </c>
      <c r="C258" s="1">
        <v>609.32000000000005</v>
      </c>
      <c r="D258" s="4">
        <v>2.3043499999999999</v>
      </c>
      <c r="E258" s="4">
        <v>1.6750000000000001E-2</v>
      </c>
      <c r="F258" s="4">
        <v>1.6490000000000001E-2</v>
      </c>
    </row>
    <row r="259" spans="1:6" x14ac:dyDescent="0.3">
      <c r="A259" s="15"/>
      <c r="B259" s="1"/>
      <c r="C259" s="1">
        <v>1764.49</v>
      </c>
      <c r="D259" s="4">
        <v>0.36520999999999998</v>
      </c>
      <c r="E259" s="5">
        <v>6.6174900000000002E-3</v>
      </c>
      <c r="F259" s="5">
        <v>6.3061899999999997E-3</v>
      </c>
    </row>
    <row r="260" spans="1:6" x14ac:dyDescent="0.3">
      <c r="A260" s="15"/>
      <c r="B260" s="1"/>
      <c r="C260" s="1">
        <v>1120.29</v>
      </c>
      <c r="D260" s="4">
        <v>0.48096</v>
      </c>
      <c r="E260" s="5">
        <v>7.9774500000000005E-3</v>
      </c>
      <c r="F260" s="5">
        <v>9.1494799999999998E-3</v>
      </c>
    </row>
    <row r="261" spans="1:6" x14ac:dyDescent="0.3">
      <c r="A261" s="15"/>
      <c r="B261" s="1" t="s">
        <v>9</v>
      </c>
      <c r="C261" s="1">
        <v>1460.82</v>
      </c>
      <c r="D261" s="4">
        <v>0</v>
      </c>
      <c r="E261" s="4">
        <v>0</v>
      </c>
      <c r="F261" s="4">
        <v>0</v>
      </c>
    </row>
    <row r="262" spans="1:6" x14ac:dyDescent="0.3">
      <c r="A262" s="15"/>
      <c r="B262" s="1" t="s">
        <v>10</v>
      </c>
      <c r="C262" s="1">
        <v>238.63</v>
      </c>
      <c r="D262" s="4">
        <v>8.1364400000000003</v>
      </c>
      <c r="E262" s="4">
        <v>4.8660000000000002E-2</v>
      </c>
      <c r="F262" s="4">
        <v>4.8590000000000001E-2</v>
      </c>
    </row>
    <row r="263" spans="1:6" x14ac:dyDescent="0.3">
      <c r="A263" s="15"/>
      <c r="B263" s="1" t="s">
        <v>11</v>
      </c>
      <c r="C263" s="1">
        <v>911.21</v>
      </c>
      <c r="D263" s="4">
        <v>1.97001</v>
      </c>
      <c r="E263" s="4">
        <v>1.529E-2</v>
      </c>
      <c r="F263" s="4">
        <v>1.409E-2</v>
      </c>
    </row>
    <row r="264" spans="1:6" x14ac:dyDescent="0.3">
      <c r="A264" s="15"/>
      <c r="B264" s="1"/>
      <c r="C264" s="1">
        <v>968.97</v>
      </c>
      <c r="D264" s="4">
        <v>1.1487700000000001</v>
      </c>
      <c r="E264" s="4">
        <v>1.231E-2</v>
      </c>
      <c r="F264" s="4">
        <v>1.4E-2</v>
      </c>
    </row>
    <row r="265" spans="1:6" x14ac:dyDescent="0.3">
      <c r="A265" s="15"/>
      <c r="B265" s="1"/>
      <c r="C265" s="1">
        <v>338.32</v>
      </c>
      <c r="D265" s="4">
        <v>1.88035</v>
      </c>
      <c r="E265" s="4">
        <v>2.188E-2</v>
      </c>
      <c r="F265" s="4">
        <v>3.9399999999999998E-2</v>
      </c>
    </row>
    <row r="266" spans="1:6" x14ac:dyDescent="0.3">
      <c r="A266" s="15"/>
      <c r="B266" s="1" t="s">
        <v>12</v>
      </c>
      <c r="C266" s="1">
        <v>2614.5300000000002</v>
      </c>
      <c r="D266" s="4">
        <v>0.99172000000000005</v>
      </c>
      <c r="E266" s="4">
        <v>1.0059999999999999E-2</v>
      </c>
      <c r="F266" s="5">
        <v>3.31869E-3</v>
      </c>
    </row>
    <row r="267" spans="1:6" x14ac:dyDescent="0.3">
      <c r="A267" s="15"/>
      <c r="B267" s="1"/>
      <c r="C267" s="1">
        <v>583.19000000000005</v>
      </c>
      <c r="D267" s="4">
        <v>2.9296899999999999</v>
      </c>
      <c r="E267" s="4">
        <v>1.9040000000000001E-2</v>
      </c>
      <c r="F267" s="4">
        <v>1.9220000000000001E-2</v>
      </c>
    </row>
    <row r="268" spans="1:6" x14ac:dyDescent="0.3">
      <c r="A268" s="15"/>
      <c r="B268" s="1"/>
      <c r="C268" s="1">
        <v>510.77</v>
      </c>
      <c r="D268" s="4">
        <v>0.94264999999999999</v>
      </c>
      <c r="E268" s="4">
        <v>1.3140000000000001E-2</v>
      </c>
      <c r="F268" s="4">
        <v>2.0199999999999999E-2</v>
      </c>
    </row>
    <row r="269" spans="1:6" x14ac:dyDescent="0.3">
      <c r="A269" s="15"/>
      <c r="B269" s="1"/>
      <c r="C269" s="1">
        <v>860.56</v>
      </c>
      <c r="D269" s="4">
        <v>0.33964</v>
      </c>
      <c r="E269" s="5">
        <v>7.5926300000000004E-3</v>
      </c>
      <c r="F269" s="4">
        <v>1.129E-2</v>
      </c>
    </row>
    <row r="270" spans="1:6" x14ac:dyDescent="0.3">
      <c r="A270" s="15">
        <v>24</v>
      </c>
      <c r="B270" s="1" t="s">
        <v>7</v>
      </c>
      <c r="C270" s="1">
        <v>351.93</v>
      </c>
      <c r="D270" s="4">
        <v>1.92021</v>
      </c>
      <c r="E270" s="4">
        <v>1.5910000000000001E-2</v>
      </c>
      <c r="F270" s="4">
        <v>1.8159999999999999E-2</v>
      </c>
    </row>
    <row r="271" spans="1:6" x14ac:dyDescent="0.3">
      <c r="A271" s="15"/>
      <c r="B271" s="1"/>
      <c r="C271" s="1">
        <v>295.22000000000003</v>
      </c>
      <c r="D271" s="4">
        <v>1.13591</v>
      </c>
      <c r="E271" s="4">
        <v>1.6799999999999999E-2</v>
      </c>
      <c r="F271" s="4">
        <v>3.0099999999999998E-2</v>
      </c>
    </row>
    <row r="272" spans="1:6" x14ac:dyDescent="0.3">
      <c r="A272" s="15"/>
      <c r="B272" s="1" t="s">
        <v>8</v>
      </c>
      <c r="C272" s="1">
        <v>609.32000000000005</v>
      </c>
      <c r="D272" s="4">
        <v>1.3585700000000001</v>
      </c>
      <c r="E272" s="4">
        <v>1.2840000000000001E-2</v>
      </c>
      <c r="F272" s="4">
        <v>1.244E-2</v>
      </c>
    </row>
    <row r="273" spans="1:6" x14ac:dyDescent="0.3">
      <c r="A273" s="15"/>
      <c r="B273" s="1"/>
      <c r="C273" s="1">
        <v>1764.49</v>
      </c>
      <c r="D273" s="4">
        <v>0.20447000000000001</v>
      </c>
      <c r="E273" s="5">
        <v>4.9511599999999996E-3</v>
      </c>
      <c r="F273" s="5">
        <v>4.50331E-3</v>
      </c>
    </row>
    <row r="274" spans="1:6" x14ac:dyDescent="0.3">
      <c r="A274" s="15"/>
      <c r="B274" s="1"/>
      <c r="C274" s="1">
        <v>1120.29</v>
      </c>
      <c r="D274" s="4">
        <v>0.27618999999999999</v>
      </c>
      <c r="E274" s="5">
        <v>5.9934599999999999E-3</v>
      </c>
      <c r="F274" s="5">
        <v>6.7496700000000001E-3</v>
      </c>
    </row>
    <row r="275" spans="1:6" x14ac:dyDescent="0.3">
      <c r="A275" s="15"/>
      <c r="B275" s="1" t="s">
        <v>9</v>
      </c>
      <c r="C275" s="1">
        <v>1460.82</v>
      </c>
      <c r="D275" s="4">
        <v>0</v>
      </c>
      <c r="E275" s="4">
        <v>0</v>
      </c>
      <c r="F275" s="4">
        <v>0</v>
      </c>
    </row>
    <row r="276" spans="1:6" x14ac:dyDescent="0.3">
      <c r="A276" s="15"/>
      <c r="B276" s="1" t="s">
        <v>10</v>
      </c>
      <c r="C276" s="1">
        <v>238.63</v>
      </c>
      <c r="D276" s="4">
        <v>5.0750700000000002</v>
      </c>
      <c r="E276" s="4">
        <v>3.3790000000000001E-2</v>
      </c>
      <c r="F276" s="4">
        <v>3.7109999999999997E-2</v>
      </c>
    </row>
    <row r="277" spans="1:6" x14ac:dyDescent="0.3">
      <c r="A277" s="15"/>
      <c r="B277" s="1" t="s">
        <v>11</v>
      </c>
      <c r="C277" s="1">
        <v>911.21</v>
      </c>
      <c r="D277" s="4">
        <v>1.13243</v>
      </c>
      <c r="E277" s="4">
        <v>1.157E-2</v>
      </c>
      <c r="F277" s="4">
        <v>1.0529999999999999E-2</v>
      </c>
    </row>
    <row r="278" spans="1:6" x14ac:dyDescent="0.3">
      <c r="A278" s="15"/>
      <c r="B278" s="1"/>
      <c r="C278" s="1">
        <v>968.97</v>
      </c>
      <c r="D278" s="4">
        <v>0.65405999999999997</v>
      </c>
      <c r="E278" s="5">
        <v>9.1356800000000002E-3</v>
      </c>
      <c r="F278" s="5">
        <v>9.9431299999999997E-3</v>
      </c>
    </row>
    <row r="279" spans="1:6" x14ac:dyDescent="0.3">
      <c r="A279" s="15"/>
      <c r="B279" s="1"/>
      <c r="C279" s="1">
        <v>338.32</v>
      </c>
      <c r="D279" s="4">
        <v>1.14439</v>
      </c>
      <c r="E279" s="4">
        <v>1.6369999999999999E-2</v>
      </c>
      <c r="F279" s="4">
        <v>2.878E-2</v>
      </c>
    </row>
    <row r="280" spans="1:6" x14ac:dyDescent="0.3">
      <c r="A280" s="15"/>
      <c r="B280" s="1" t="s">
        <v>12</v>
      </c>
      <c r="C280" s="1">
        <v>2614.5300000000002</v>
      </c>
      <c r="D280" s="4">
        <v>0.56513000000000002</v>
      </c>
      <c r="E280" s="5">
        <v>7.5870399999999998E-3</v>
      </c>
      <c r="F280" s="5">
        <v>2.4415299999999999E-3</v>
      </c>
    </row>
    <row r="281" spans="1:6" x14ac:dyDescent="0.3">
      <c r="A281" s="15"/>
      <c r="B281" s="1"/>
      <c r="C281" s="1">
        <v>583.19000000000005</v>
      </c>
      <c r="D281" s="4">
        <v>1.7278800000000001</v>
      </c>
      <c r="E281" s="4">
        <v>1.439E-2</v>
      </c>
      <c r="F281" s="4">
        <v>1.337E-2</v>
      </c>
    </row>
    <row r="282" spans="1:6" x14ac:dyDescent="0.3">
      <c r="A282" s="15"/>
      <c r="B282" s="1"/>
      <c r="C282" s="1">
        <v>510.77</v>
      </c>
      <c r="D282" s="4">
        <v>0.54161000000000004</v>
      </c>
      <c r="E282" s="5">
        <v>9.5436400000000008E-3</v>
      </c>
      <c r="F282" s="4">
        <v>1.358E-2</v>
      </c>
    </row>
    <row r="283" spans="1:6" x14ac:dyDescent="0.3">
      <c r="A283" s="15"/>
      <c r="B283" s="1"/>
      <c r="C283" s="1">
        <v>860.56</v>
      </c>
      <c r="D283" s="4">
        <v>0.19968</v>
      </c>
      <c r="E283" s="5">
        <v>5.5016099999999997E-3</v>
      </c>
      <c r="F283" s="5">
        <v>7.4823299999999997E-3</v>
      </c>
    </row>
    <row r="284" spans="1:6" x14ac:dyDescent="0.3">
      <c r="A284" s="15">
        <v>25</v>
      </c>
      <c r="B284" s="1" t="s">
        <v>7</v>
      </c>
      <c r="C284" s="1">
        <v>351.93</v>
      </c>
      <c r="D284" s="4">
        <v>0.31877</v>
      </c>
      <c r="E284" s="5">
        <v>6.5786200000000003E-3</v>
      </c>
      <c r="F284" s="5">
        <v>7.7921500000000003E-3</v>
      </c>
    </row>
    <row r="285" spans="1:6" x14ac:dyDescent="0.3">
      <c r="A285" s="15"/>
      <c r="B285" s="1"/>
      <c r="C285" s="1">
        <v>295.22000000000003</v>
      </c>
      <c r="D285" s="4">
        <v>0.19262000000000001</v>
      </c>
      <c r="E285" s="5">
        <v>6.1261900000000001E-3</v>
      </c>
      <c r="F285" s="5">
        <v>9.8299100000000007E-3</v>
      </c>
    </row>
    <row r="286" spans="1:6" x14ac:dyDescent="0.3">
      <c r="A286" s="15"/>
      <c r="B286" s="1" t="s">
        <v>8</v>
      </c>
      <c r="C286" s="1">
        <v>609.32000000000005</v>
      </c>
      <c r="D286" s="4">
        <v>0.22109000000000001</v>
      </c>
      <c r="E286" s="5">
        <v>5.1522099999999999E-3</v>
      </c>
      <c r="F286" s="5">
        <v>4.94335E-3</v>
      </c>
    </row>
    <row r="287" spans="1:6" x14ac:dyDescent="0.3">
      <c r="A287" s="15"/>
      <c r="B287" s="1"/>
      <c r="C287" s="1">
        <v>1764.49</v>
      </c>
      <c r="D287" s="1"/>
      <c r="E287" s="1"/>
      <c r="F287" s="1"/>
    </row>
    <row r="288" spans="1:6" x14ac:dyDescent="0.3">
      <c r="A288" s="15"/>
      <c r="B288" s="1"/>
      <c r="C288" s="1">
        <v>1120.29</v>
      </c>
      <c r="D288" s="4">
        <v>4.4740000000000002E-2</v>
      </c>
      <c r="E288" s="5">
        <v>2.5324700000000002E-3</v>
      </c>
      <c r="F288" s="5">
        <v>3.28488E-3</v>
      </c>
    </row>
    <row r="289" spans="1:6" x14ac:dyDescent="0.3">
      <c r="A289" s="15"/>
      <c r="B289" s="1" t="s">
        <v>9</v>
      </c>
      <c r="C289" s="1">
        <v>1460.82</v>
      </c>
      <c r="D289" s="4">
        <v>1.6789999999999999E-2</v>
      </c>
      <c r="E289" s="5">
        <v>1.6543599999999999E-3</v>
      </c>
      <c r="F289" s="5">
        <v>2.3901500000000002E-3</v>
      </c>
    </row>
    <row r="290" spans="1:6" x14ac:dyDescent="0.3">
      <c r="A290" s="15"/>
      <c r="B290" s="1" t="s">
        <v>10</v>
      </c>
      <c r="C290" s="1">
        <v>238.63</v>
      </c>
      <c r="D290" s="4">
        <v>0.91869000000000001</v>
      </c>
      <c r="E290" s="4">
        <v>1.095E-2</v>
      </c>
      <c r="F290" s="4">
        <v>1.2290000000000001E-2</v>
      </c>
    </row>
    <row r="291" spans="1:6" x14ac:dyDescent="0.3">
      <c r="A291" s="15"/>
      <c r="B291" s="1" t="s">
        <v>11</v>
      </c>
      <c r="C291" s="1">
        <v>911.21</v>
      </c>
      <c r="D291" s="4">
        <v>0.16797000000000001</v>
      </c>
      <c r="E291" s="5">
        <v>4.3608299999999996E-3</v>
      </c>
      <c r="F291" s="5">
        <v>3.4378899999999999E-3</v>
      </c>
    </row>
    <row r="292" spans="1:6" x14ac:dyDescent="0.3">
      <c r="A292" s="15"/>
      <c r="B292" s="1"/>
      <c r="C292" s="1">
        <v>968.97</v>
      </c>
      <c r="D292" s="4">
        <v>9.4689999999999996E-2</v>
      </c>
      <c r="E292" s="5">
        <v>3.53916E-3</v>
      </c>
      <c r="F292" s="5">
        <v>4.0793899999999996E-3</v>
      </c>
    </row>
    <row r="293" spans="1:6" x14ac:dyDescent="0.3">
      <c r="A293" s="15"/>
      <c r="B293" s="1"/>
      <c r="C293" s="1">
        <v>338.32</v>
      </c>
      <c r="D293" s="4">
        <v>0.17052</v>
      </c>
      <c r="E293" s="5">
        <v>5.2452599999999999E-3</v>
      </c>
      <c r="F293" s="5">
        <v>7.5102500000000004E-3</v>
      </c>
    </row>
    <row r="294" spans="1:6" x14ac:dyDescent="0.3">
      <c r="A294" s="15"/>
      <c r="B294" s="1" t="s">
        <v>12</v>
      </c>
      <c r="C294" s="1">
        <v>2614.5300000000002</v>
      </c>
      <c r="D294" s="4">
        <v>8.8999999999999996E-2</v>
      </c>
      <c r="E294" s="5">
        <v>3.0428999999999999E-3</v>
      </c>
      <c r="F294" s="5">
        <v>1.4488599999999999E-3</v>
      </c>
    </row>
    <row r="295" spans="1:6" x14ac:dyDescent="0.3">
      <c r="A295" s="15"/>
      <c r="B295" s="1"/>
      <c r="C295" s="1">
        <v>583.19000000000005</v>
      </c>
      <c r="D295" s="4">
        <v>0.26450000000000001</v>
      </c>
      <c r="E295" s="5">
        <v>5.6628199999999998E-3</v>
      </c>
      <c r="F295" s="5">
        <v>5.5613900000000003E-3</v>
      </c>
    </row>
    <row r="296" spans="1:6" x14ac:dyDescent="0.3">
      <c r="A296" s="15"/>
      <c r="B296" s="1"/>
      <c r="C296" s="1">
        <v>510.77</v>
      </c>
      <c r="D296" s="4">
        <v>0.10242</v>
      </c>
      <c r="E296" s="5">
        <v>4.0219000000000001E-3</v>
      </c>
      <c r="F296" s="5">
        <v>5.6134799999999997E-3</v>
      </c>
    </row>
    <row r="297" spans="1:6" x14ac:dyDescent="0.3">
      <c r="A297" s="15"/>
      <c r="B297" s="1"/>
      <c r="C297" s="1">
        <v>860.56</v>
      </c>
      <c r="D297" s="4">
        <v>3.0759999999999999E-2</v>
      </c>
      <c r="E297" s="5">
        <v>2.3630399999999998E-3</v>
      </c>
      <c r="F297" s="5">
        <v>3.73186E-3</v>
      </c>
    </row>
    <row r="298" spans="1:6" x14ac:dyDescent="0.3">
      <c r="A298" s="15">
        <v>26</v>
      </c>
      <c r="B298" s="1" t="s">
        <v>7</v>
      </c>
      <c r="C298" s="1">
        <v>351.93</v>
      </c>
      <c r="D298" s="4">
        <v>0.29369000000000001</v>
      </c>
      <c r="E298" s="5">
        <v>6.1331099999999998E-3</v>
      </c>
      <c r="F298" s="5">
        <v>6.6466199999999998E-3</v>
      </c>
    </row>
    <row r="299" spans="1:6" x14ac:dyDescent="0.3">
      <c r="A299" s="15"/>
      <c r="B299" s="1"/>
      <c r="C299" s="1">
        <v>295.22000000000003</v>
      </c>
      <c r="D299" s="4">
        <v>0.17172999999999999</v>
      </c>
      <c r="E299" s="5">
        <v>5.8587300000000004E-3</v>
      </c>
      <c r="F299" s="5">
        <v>9.6360300000000003E-3</v>
      </c>
    </row>
    <row r="300" spans="1:6" x14ac:dyDescent="0.3">
      <c r="A300" s="15"/>
      <c r="B300" s="1" t="s">
        <v>8</v>
      </c>
      <c r="C300" s="1">
        <v>609.32000000000005</v>
      </c>
      <c r="D300" s="4">
        <v>0.21057999999999999</v>
      </c>
      <c r="E300" s="5">
        <v>5.13102E-3</v>
      </c>
      <c r="F300" s="5">
        <v>5.2946800000000004E-3</v>
      </c>
    </row>
    <row r="301" spans="1:6" x14ac:dyDescent="0.3">
      <c r="A301" s="15"/>
      <c r="B301" s="1"/>
      <c r="C301" s="1">
        <v>1764.49</v>
      </c>
      <c r="D301" s="4">
        <v>3.09E-2</v>
      </c>
      <c r="E301" s="5">
        <v>2.0020799999999998E-3</v>
      </c>
      <c r="F301" s="5">
        <v>2.2828100000000001E-3</v>
      </c>
    </row>
    <row r="302" spans="1:6" x14ac:dyDescent="0.3">
      <c r="A302" s="15"/>
      <c r="B302" s="1"/>
      <c r="C302" s="1">
        <v>1120.29</v>
      </c>
      <c r="D302" s="4">
        <v>3.8580000000000003E-2</v>
      </c>
      <c r="E302" s="5">
        <v>2.3534099999999998E-3</v>
      </c>
      <c r="F302" s="5">
        <v>3.0615999999999998E-3</v>
      </c>
    </row>
    <row r="303" spans="1:6" x14ac:dyDescent="0.3">
      <c r="A303" s="15"/>
      <c r="B303" s="1" t="s">
        <v>9</v>
      </c>
      <c r="C303" s="1">
        <v>1460.82</v>
      </c>
      <c r="D303" s="4">
        <v>0</v>
      </c>
      <c r="E303" s="5">
        <v>0</v>
      </c>
      <c r="F303" s="5">
        <v>0</v>
      </c>
    </row>
    <row r="304" spans="1:6" x14ac:dyDescent="0.3">
      <c r="A304" s="15"/>
      <c r="B304" s="1" t="s">
        <v>10</v>
      </c>
      <c r="C304" s="1">
        <v>238.63</v>
      </c>
      <c r="D304" s="4">
        <v>0.86804999999999999</v>
      </c>
      <c r="E304" s="4">
        <v>1.0449999999999999E-2</v>
      </c>
      <c r="F304" s="4">
        <v>1.106E-2</v>
      </c>
    </row>
    <row r="305" spans="1:6" x14ac:dyDescent="0.3">
      <c r="A305" s="15"/>
      <c r="B305" s="1" t="s">
        <v>11</v>
      </c>
      <c r="C305" s="1">
        <v>911.21</v>
      </c>
      <c r="D305" s="4">
        <v>0.15507000000000001</v>
      </c>
      <c r="E305" s="5">
        <v>4.2488100000000004E-3</v>
      </c>
      <c r="F305" s="5">
        <v>3.66885E-3</v>
      </c>
    </row>
    <row r="306" spans="1:6" x14ac:dyDescent="0.3">
      <c r="A306" s="15"/>
      <c r="B306" s="1"/>
      <c r="C306" s="1">
        <v>968.97</v>
      </c>
      <c r="D306" s="4">
        <v>9.1740000000000002E-2</v>
      </c>
      <c r="E306" s="5">
        <v>3.5196799999999999E-3</v>
      </c>
      <c r="F306" s="5">
        <v>4.2300200000000001E-3</v>
      </c>
    </row>
    <row r="307" spans="1:6" x14ac:dyDescent="0.3">
      <c r="A307" s="15"/>
      <c r="B307" s="1"/>
      <c r="C307" s="1">
        <v>338.32</v>
      </c>
      <c r="D307" s="4">
        <v>0.16497000000000001</v>
      </c>
      <c r="E307" s="5">
        <v>5.2733600000000004E-3</v>
      </c>
      <c r="F307" s="5">
        <v>7.8613199999999998E-3</v>
      </c>
    </row>
    <row r="308" spans="1:6" x14ac:dyDescent="0.3">
      <c r="A308" s="15"/>
      <c r="B308" s="1" t="s">
        <v>12</v>
      </c>
      <c r="C308" s="1">
        <v>2614.5300000000002</v>
      </c>
      <c r="D308" s="1"/>
      <c r="E308" s="1"/>
      <c r="F308" s="1"/>
    </row>
    <row r="309" spans="1:6" x14ac:dyDescent="0.3">
      <c r="A309" s="15"/>
      <c r="B309" s="1"/>
      <c r="C309" s="1">
        <v>583.19000000000005</v>
      </c>
      <c r="D309" s="4">
        <v>0.25091000000000002</v>
      </c>
      <c r="E309" s="5">
        <v>5.5137800000000002E-3</v>
      </c>
      <c r="F309" s="5">
        <v>5.2173200000000001E-3</v>
      </c>
    </row>
    <row r="310" spans="1:6" x14ac:dyDescent="0.3">
      <c r="A310" s="15"/>
      <c r="B310" s="1"/>
      <c r="C310" s="1">
        <v>510.77</v>
      </c>
      <c r="D310" s="4">
        <v>9.5570000000000002E-2</v>
      </c>
      <c r="E310" s="5">
        <v>3.8648599999999999E-3</v>
      </c>
      <c r="F310" s="5">
        <v>5.2402500000000001E-3</v>
      </c>
    </row>
    <row r="311" spans="1:6" x14ac:dyDescent="0.3">
      <c r="A311" s="15"/>
      <c r="B311" s="1"/>
      <c r="C311" s="1">
        <v>860.56</v>
      </c>
      <c r="D311" s="4">
        <v>2.9409999999999999E-2</v>
      </c>
      <c r="E311" s="5">
        <v>2.3293099999999998E-3</v>
      </c>
      <c r="F311" s="5">
        <v>3.7192200000000001E-3</v>
      </c>
    </row>
    <row r="312" spans="1:6" x14ac:dyDescent="0.3">
      <c r="A312" s="15">
        <v>27</v>
      </c>
      <c r="B312" s="1" t="s">
        <v>7</v>
      </c>
      <c r="C312" s="1">
        <v>351.93</v>
      </c>
      <c r="D312" s="4">
        <v>0.68318999999999996</v>
      </c>
      <c r="E312" s="5">
        <v>9.5618300000000003E-3</v>
      </c>
      <c r="F312" s="4">
        <v>1.1129999999999999E-2</v>
      </c>
    </row>
    <row r="313" spans="1:6" x14ac:dyDescent="0.3">
      <c r="A313" s="15"/>
      <c r="B313" s="1"/>
      <c r="C313" s="1">
        <v>295.22000000000003</v>
      </c>
      <c r="D313" s="4">
        <v>0.40194000000000002</v>
      </c>
      <c r="E313" s="5">
        <v>8.9007300000000008E-3</v>
      </c>
      <c r="F313" s="4">
        <v>1.438E-2</v>
      </c>
    </row>
    <row r="314" spans="1:6" x14ac:dyDescent="0.3">
      <c r="A314" s="15"/>
      <c r="B314" s="1" t="s">
        <v>8</v>
      </c>
      <c r="C314" s="1">
        <v>609.32000000000005</v>
      </c>
      <c r="D314" s="4">
        <v>0.47633999999999999</v>
      </c>
      <c r="E314" s="5">
        <v>7.7344900000000001E-3</v>
      </c>
      <c r="F314" s="5">
        <v>8.0556499999999993E-3</v>
      </c>
    </row>
    <row r="315" spans="1:6" x14ac:dyDescent="0.3">
      <c r="A315" s="15"/>
      <c r="B315" s="1"/>
      <c r="C315" s="1">
        <v>1764.49</v>
      </c>
      <c r="D315" s="4">
        <v>7.0529999999999995E-2</v>
      </c>
      <c r="E315" s="5">
        <v>2.9499399999999999E-3</v>
      </c>
      <c r="F315" s="5">
        <v>3.0389100000000001E-3</v>
      </c>
    </row>
    <row r="316" spans="1:6" x14ac:dyDescent="0.3">
      <c r="A316" s="15"/>
      <c r="B316" s="1"/>
      <c r="C316" s="1">
        <v>1120.29</v>
      </c>
      <c r="D316" s="4">
        <v>9.3310000000000004E-2</v>
      </c>
      <c r="E316" s="5">
        <v>3.5375599999999999E-3</v>
      </c>
      <c r="F316" s="5">
        <v>4.2148200000000002E-3</v>
      </c>
    </row>
    <row r="317" spans="1:6" x14ac:dyDescent="0.3">
      <c r="A317" s="15"/>
      <c r="B317" s="1" t="s">
        <v>9</v>
      </c>
      <c r="C317" s="1">
        <v>1460.82</v>
      </c>
      <c r="D317" s="4">
        <v>1.29E-2</v>
      </c>
      <c r="E317" s="5">
        <v>1.8052999999999999E-3</v>
      </c>
      <c r="F317" s="5">
        <v>3.31453E-3</v>
      </c>
    </row>
    <row r="318" spans="1:6" x14ac:dyDescent="0.3">
      <c r="A318" s="15"/>
      <c r="B318" s="1" t="s">
        <v>10</v>
      </c>
      <c r="C318" s="1">
        <v>238.63</v>
      </c>
      <c r="D318" s="4">
        <v>2.1761900000000001</v>
      </c>
      <c r="E318" s="4">
        <v>2.0490000000000001E-2</v>
      </c>
      <c r="F318" s="4">
        <v>2.2110000000000001E-2</v>
      </c>
    </row>
    <row r="319" spans="1:6" x14ac:dyDescent="0.3">
      <c r="A319" s="15"/>
      <c r="B319" s="1" t="s">
        <v>11</v>
      </c>
      <c r="C319" s="1">
        <v>911.21</v>
      </c>
      <c r="D319" s="4">
        <v>0.44834000000000002</v>
      </c>
      <c r="E319" s="5">
        <v>7.0738099999999998E-3</v>
      </c>
      <c r="F319" s="5">
        <v>5.3310099999999997E-3</v>
      </c>
    </row>
    <row r="320" spans="1:6" x14ac:dyDescent="0.3">
      <c r="A320" s="15"/>
      <c r="B320" s="1"/>
      <c r="C320" s="1">
        <v>968.97</v>
      </c>
      <c r="D320" s="4">
        <v>0.26368999999999998</v>
      </c>
      <c r="E320" s="5">
        <v>5.7120299999999999E-3</v>
      </c>
      <c r="F320" s="5">
        <v>5.8528900000000003E-3</v>
      </c>
    </row>
    <row r="321" spans="1:6" x14ac:dyDescent="0.3">
      <c r="A321" s="15"/>
      <c r="B321" s="1"/>
      <c r="C321" s="1">
        <v>338.32</v>
      </c>
      <c r="D321" s="4">
        <v>0.47669</v>
      </c>
      <c r="E321" s="4">
        <v>1.001E-2</v>
      </c>
      <c r="F321" s="4">
        <v>1.6920000000000001E-2</v>
      </c>
    </row>
    <row r="322" spans="1:6" x14ac:dyDescent="0.3">
      <c r="A322" s="15"/>
      <c r="B322" s="1" t="s">
        <v>12</v>
      </c>
      <c r="C322" s="1">
        <v>2614.5300000000002</v>
      </c>
      <c r="D322" s="4">
        <v>0.22566</v>
      </c>
      <c r="E322" s="5">
        <v>4.8019600000000001E-3</v>
      </c>
      <c r="F322" s="6">
        <v>1.6667699999999999E-3</v>
      </c>
    </row>
    <row r="323" spans="1:6" x14ac:dyDescent="0.3">
      <c r="A323" s="15"/>
      <c r="B323" s="1"/>
      <c r="C323" s="1">
        <v>583.19000000000005</v>
      </c>
      <c r="D323" s="4">
        <v>0.68293999999999999</v>
      </c>
      <c r="E323" s="5">
        <v>9.0665599999999996E-3</v>
      </c>
      <c r="F323" s="5">
        <v>8.5406000000000006E-3</v>
      </c>
    </row>
    <row r="324" spans="1:6" x14ac:dyDescent="0.3">
      <c r="A324" s="15"/>
      <c r="B324" s="1"/>
      <c r="C324" s="1">
        <v>510.77</v>
      </c>
      <c r="D324" s="4">
        <v>0.22264</v>
      </c>
      <c r="E324" s="5">
        <v>6.1130300000000002E-3</v>
      </c>
      <c r="F324" s="5">
        <v>8.9575000000000002E-3</v>
      </c>
    </row>
    <row r="325" spans="1:6" x14ac:dyDescent="0.3">
      <c r="A325" s="15"/>
      <c r="B325" s="1"/>
      <c r="C325" s="1">
        <v>860.56</v>
      </c>
      <c r="D325" s="4">
        <v>7.9119999999999996E-2</v>
      </c>
      <c r="E325" s="5">
        <v>3.5161300000000001E-3</v>
      </c>
      <c r="F325" s="5">
        <v>4.9029399999999997E-3</v>
      </c>
    </row>
    <row r="326" spans="1:6" x14ac:dyDescent="0.3">
      <c r="A326" s="15">
        <v>28</v>
      </c>
      <c r="B326" s="1" t="s">
        <v>7</v>
      </c>
      <c r="C326" s="1">
        <v>351.93</v>
      </c>
      <c r="D326" s="4">
        <v>5.8630000000000002E-2</v>
      </c>
      <c r="E326" s="5">
        <v>3.1053999999999999E-3</v>
      </c>
      <c r="F326" s="5">
        <v>4.50915E-3</v>
      </c>
    </row>
    <row r="327" spans="1:6" x14ac:dyDescent="0.3">
      <c r="A327" s="15"/>
      <c r="B327" s="1"/>
      <c r="C327" s="1">
        <v>295.22000000000003</v>
      </c>
      <c r="D327" s="4">
        <v>3.5990000000000001E-2</v>
      </c>
      <c r="E327" s="5">
        <v>3.0185199999999998E-3</v>
      </c>
      <c r="F327" s="5">
        <v>5.4212799999999997E-3</v>
      </c>
    </row>
    <row r="328" spans="1:6" x14ac:dyDescent="0.3">
      <c r="A328" s="15"/>
      <c r="B328" s="1" t="s">
        <v>8</v>
      </c>
      <c r="C328" s="1">
        <v>609.32000000000005</v>
      </c>
      <c r="D328" s="4">
        <v>4.3549999999999998E-2</v>
      </c>
      <c r="E328" s="5">
        <v>2.47934E-3</v>
      </c>
      <c r="F328" s="5">
        <v>3.1590500000000001E-3</v>
      </c>
    </row>
    <row r="329" spans="1:6" x14ac:dyDescent="0.3">
      <c r="A329" s="15"/>
      <c r="B329" s="1"/>
      <c r="C329" s="1">
        <v>1764.49</v>
      </c>
      <c r="D329" s="1"/>
      <c r="E329" s="1"/>
      <c r="F329" s="1"/>
    </row>
    <row r="330" spans="1:6" x14ac:dyDescent="0.3">
      <c r="A330" s="15"/>
      <c r="B330" s="1"/>
      <c r="C330" s="1">
        <v>1120.29</v>
      </c>
      <c r="D330" s="1"/>
      <c r="E330" s="1"/>
      <c r="F330" s="1"/>
    </row>
    <row r="331" spans="1:6" x14ac:dyDescent="0.3">
      <c r="A331" s="15"/>
      <c r="B331" s="1" t="s">
        <v>9</v>
      </c>
      <c r="C331" s="1">
        <v>1460.82</v>
      </c>
      <c r="D331" s="1"/>
      <c r="E331" s="1"/>
      <c r="F331" s="1"/>
    </row>
    <row r="332" spans="1:6" x14ac:dyDescent="0.3">
      <c r="A332" s="15"/>
      <c r="B332" s="1" t="s">
        <v>10</v>
      </c>
      <c r="C332" s="1">
        <v>238.63</v>
      </c>
      <c r="D332" s="4">
        <v>0.18329000000000001</v>
      </c>
      <c r="E332" s="5">
        <v>5.2509599999999998E-3</v>
      </c>
      <c r="F332" s="5">
        <v>6.5006999999999999E-3</v>
      </c>
    </row>
    <row r="333" spans="1:6" x14ac:dyDescent="0.3">
      <c r="A333" s="15"/>
      <c r="B333" s="1" t="s">
        <v>11</v>
      </c>
      <c r="C333" s="1">
        <v>911.21</v>
      </c>
      <c r="D333" s="4">
        <v>4.1070000000000002E-2</v>
      </c>
      <c r="E333" s="5">
        <v>2.2117999999999999E-3</v>
      </c>
      <c r="F333" s="5">
        <v>2.1045899999999999E-3</v>
      </c>
    </row>
    <row r="334" spans="1:6" x14ac:dyDescent="0.3">
      <c r="A334" s="15"/>
      <c r="B334" s="1"/>
      <c r="C334" s="1">
        <v>968.97</v>
      </c>
      <c r="D334" s="4">
        <v>1.8159999999999999E-2</v>
      </c>
      <c r="E334" s="5">
        <v>1.7996799999999999E-3</v>
      </c>
      <c r="F334" s="5">
        <v>2.75392E-3</v>
      </c>
    </row>
    <row r="335" spans="1:6" x14ac:dyDescent="0.3">
      <c r="A335" s="15"/>
      <c r="B335" s="1"/>
      <c r="C335" s="1">
        <v>338.32</v>
      </c>
      <c r="D335" s="4">
        <v>3.669E-2</v>
      </c>
      <c r="E335" s="5">
        <v>2.73931E-3</v>
      </c>
      <c r="F335" s="5">
        <v>4.5362299999999996E-3</v>
      </c>
    </row>
    <row r="336" spans="1:6" x14ac:dyDescent="0.3">
      <c r="A336" s="15"/>
      <c r="B336" s="1" t="s">
        <v>12</v>
      </c>
      <c r="C336" s="1">
        <v>2614.5300000000002</v>
      </c>
      <c r="D336" s="1"/>
      <c r="E336" s="1"/>
      <c r="F336" s="1"/>
    </row>
    <row r="337" spans="1:6" x14ac:dyDescent="0.3">
      <c r="A337" s="15"/>
      <c r="B337" s="1"/>
      <c r="C337" s="1">
        <v>583.19000000000005</v>
      </c>
      <c r="D337" s="4">
        <v>5.824E-2</v>
      </c>
      <c r="E337" s="5">
        <v>2.7066199999999999E-3</v>
      </c>
      <c r="F337" s="5">
        <v>2.85243E-3</v>
      </c>
    </row>
    <row r="338" spans="1:6" x14ac:dyDescent="0.3">
      <c r="A338" s="15"/>
      <c r="B338" s="1"/>
      <c r="C338" s="1">
        <v>510.77</v>
      </c>
      <c r="D338" s="4">
        <v>3.8379999999999997E-2</v>
      </c>
      <c r="E338" s="5">
        <v>2.5062700000000001E-3</v>
      </c>
      <c r="F338" s="5">
        <v>3.6263300000000001E-3</v>
      </c>
    </row>
    <row r="339" spans="1:6" x14ac:dyDescent="0.3">
      <c r="A339" s="15"/>
      <c r="B339" s="1"/>
      <c r="C339" s="1">
        <v>860.56</v>
      </c>
      <c r="D339" s="5">
        <v>6.05539975E-3</v>
      </c>
      <c r="E339" s="5">
        <v>1.1943399999999999E-3</v>
      </c>
      <c r="F339" s="5">
        <v>2.1419199999999998E-3</v>
      </c>
    </row>
    <row r="340" spans="1:6" x14ac:dyDescent="0.3">
      <c r="A340" s="15">
        <v>30</v>
      </c>
      <c r="B340" s="1" t="s">
        <v>7</v>
      </c>
      <c r="C340" s="1">
        <v>351.93</v>
      </c>
      <c r="D340" s="4">
        <v>2.1870000000000001E-2</v>
      </c>
      <c r="E340" s="5">
        <v>1.85407E-3</v>
      </c>
      <c r="F340" s="5">
        <v>2.6512300000000001E-3</v>
      </c>
    </row>
    <row r="341" spans="1:6" x14ac:dyDescent="0.3">
      <c r="A341" s="15"/>
      <c r="B341" s="1"/>
      <c r="C341" s="1">
        <v>295.22000000000003</v>
      </c>
      <c r="D341" s="4">
        <v>1.221E-2</v>
      </c>
      <c r="E341" s="5">
        <v>1.7370599999999999E-3</v>
      </c>
      <c r="F341" s="5">
        <v>3.1429600000000002E-3</v>
      </c>
    </row>
    <row r="342" spans="1:6" x14ac:dyDescent="0.3">
      <c r="A342" s="15"/>
      <c r="B342" s="1" t="s">
        <v>8</v>
      </c>
      <c r="C342" s="1">
        <v>609.32000000000005</v>
      </c>
      <c r="D342" s="1"/>
      <c r="E342" s="1"/>
      <c r="F342" s="1"/>
    </row>
    <row r="343" spans="1:6" x14ac:dyDescent="0.3">
      <c r="A343" s="15"/>
      <c r="B343" s="1"/>
      <c r="C343" s="1">
        <v>1764.49</v>
      </c>
      <c r="D343" s="1"/>
      <c r="E343" s="1"/>
      <c r="F343" s="1"/>
    </row>
    <row r="344" spans="1:6" x14ac:dyDescent="0.3">
      <c r="A344" s="15"/>
      <c r="B344" s="1"/>
      <c r="C344" s="1">
        <v>1120.29</v>
      </c>
      <c r="D344" s="1"/>
      <c r="E344" s="1"/>
      <c r="F344" s="1"/>
    </row>
    <row r="345" spans="1:6" x14ac:dyDescent="0.3">
      <c r="A345" s="15"/>
      <c r="B345" s="1" t="s">
        <v>9</v>
      </c>
      <c r="C345" s="1">
        <v>1460.82</v>
      </c>
      <c r="D345" s="1"/>
      <c r="E345" s="1"/>
      <c r="F345" s="1"/>
    </row>
    <row r="346" spans="1:6" x14ac:dyDescent="0.3">
      <c r="A346" s="15"/>
      <c r="B346" s="1" t="s">
        <v>10</v>
      </c>
      <c r="C346" s="1">
        <v>238.63</v>
      </c>
      <c r="D346" s="4">
        <v>3.2640000000000002E-2</v>
      </c>
      <c r="E346" s="5">
        <v>2.5807500000000001E-3</v>
      </c>
      <c r="F346" s="5">
        <v>4.3367299999999996E-3</v>
      </c>
    </row>
    <row r="347" spans="1:6" x14ac:dyDescent="0.3">
      <c r="A347" s="15"/>
      <c r="B347" s="1" t="s">
        <v>11</v>
      </c>
      <c r="C347" s="1">
        <v>911.21</v>
      </c>
      <c r="D347" s="1"/>
      <c r="E347" s="1"/>
      <c r="F347" s="1"/>
    </row>
    <row r="348" spans="1:6" x14ac:dyDescent="0.3">
      <c r="A348" s="15"/>
      <c r="B348" s="1"/>
      <c r="C348" s="1">
        <v>968.97</v>
      </c>
      <c r="D348" s="1"/>
      <c r="E348" s="1"/>
      <c r="F348" s="1"/>
    </row>
    <row r="349" spans="1:6" x14ac:dyDescent="0.3">
      <c r="A349" s="15"/>
      <c r="B349" s="1"/>
      <c r="C349" s="1">
        <v>338.32</v>
      </c>
      <c r="D349" s="5">
        <v>4.4514955200000003E-3</v>
      </c>
      <c r="E349" s="5">
        <v>1.3223200000000001E-3</v>
      </c>
      <c r="F349" s="5">
        <v>2.6529700000000002E-3</v>
      </c>
    </row>
    <row r="350" spans="1:6" x14ac:dyDescent="0.3">
      <c r="A350" s="15"/>
      <c r="B350" s="1" t="s">
        <v>12</v>
      </c>
      <c r="C350" s="1">
        <v>2614.5300000000002</v>
      </c>
      <c r="D350" s="1"/>
      <c r="E350" s="1"/>
      <c r="F350" s="1"/>
    </row>
    <row r="351" spans="1:6" x14ac:dyDescent="0.3">
      <c r="A351" s="15"/>
      <c r="B351" s="1"/>
      <c r="C351" s="1">
        <v>583.19000000000005</v>
      </c>
      <c r="D351" s="4">
        <v>1.1169999999999999E-2</v>
      </c>
      <c r="E351" s="5">
        <v>1.43556E-3</v>
      </c>
      <c r="F351" s="5">
        <v>2.1902699999999998E-3</v>
      </c>
    </row>
    <row r="352" spans="1:6" x14ac:dyDescent="0.3">
      <c r="A352" s="15"/>
      <c r="B352" s="1"/>
      <c r="C352" s="1">
        <v>510.77</v>
      </c>
      <c r="D352" s="1"/>
      <c r="E352" s="1"/>
      <c r="F352" s="1"/>
    </row>
    <row r="353" spans="1:6" x14ac:dyDescent="0.3">
      <c r="A353" s="15"/>
      <c r="B353" s="1"/>
      <c r="C353" s="1">
        <v>860.56</v>
      </c>
      <c r="D353" s="1"/>
      <c r="E353" s="1"/>
      <c r="F353" s="1"/>
    </row>
    <row r="354" spans="1:6" x14ac:dyDescent="0.3">
      <c r="A354" s="15">
        <v>31</v>
      </c>
      <c r="B354" s="1" t="s">
        <v>7</v>
      </c>
      <c r="C354" s="1">
        <v>351.93</v>
      </c>
      <c r="D354" s="4">
        <v>2.487E-2</v>
      </c>
      <c r="E354" s="5">
        <v>2.0297499999999999E-3</v>
      </c>
      <c r="F354" s="5">
        <v>3.0080200000000001E-3</v>
      </c>
    </row>
    <row r="355" spans="1:6" x14ac:dyDescent="0.3">
      <c r="A355" s="15"/>
      <c r="B355" s="1"/>
      <c r="C355" s="1">
        <v>295.22000000000003</v>
      </c>
      <c r="D355" s="4">
        <v>1.427E-2</v>
      </c>
      <c r="E355" s="5">
        <v>2.04097E-3</v>
      </c>
      <c r="F355" s="5">
        <v>3.7746799999999999E-3</v>
      </c>
    </row>
    <row r="356" spans="1:6" x14ac:dyDescent="0.3">
      <c r="A356" s="15"/>
      <c r="B356" s="1" t="s">
        <v>8</v>
      </c>
      <c r="C356" s="1">
        <v>609.32000000000005</v>
      </c>
      <c r="D356" s="4">
        <v>1.7500000000000002E-2</v>
      </c>
      <c r="E356" s="5">
        <v>1.7168000000000001E-3</v>
      </c>
      <c r="F356" s="5">
        <v>2.5732400000000001E-3</v>
      </c>
    </row>
    <row r="357" spans="1:6" x14ac:dyDescent="0.3">
      <c r="A357" s="15"/>
      <c r="B357" s="1"/>
      <c r="C357" s="1">
        <v>1764.49</v>
      </c>
      <c r="D357" s="1"/>
      <c r="E357" s="1"/>
      <c r="F357" s="1"/>
    </row>
    <row r="358" spans="1:6" x14ac:dyDescent="0.3">
      <c r="A358" s="15"/>
      <c r="B358" s="1"/>
      <c r="C358" s="1">
        <v>1120.29</v>
      </c>
      <c r="D358" s="1"/>
      <c r="E358" s="1"/>
      <c r="F358" s="1"/>
    </row>
    <row r="359" spans="1:6" x14ac:dyDescent="0.3">
      <c r="A359" s="15"/>
      <c r="B359" s="1" t="s">
        <v>9</v>
      </c>
      <c r="C359" s="1">
        <v>1460.82</v>
      </c>
      <c r="D359" s="1"/>
      <c r="E359" s="1"/>
      <c r="F359" s="1"/>
    </row>
    <row r="360" spans="1:6" x14ac:dyDescent="0.3">
      <c r="A360" s="15"/>
      <c r="B360" s="1" t="s">
        <v>10</v>
      </c>
      <c r="C360" s="1">
        <v>238.63</v>
      </c>
      <c r="D360" s="4">
        <v>6.164E-2</v>
      </c>
      <c r="E360" s="5">
        <v>3.1375399999999999E-3</v>
      </c>
      <c r="F360" s="7">
        <v>4.5126999999999997E-3</v>
      </c>
    </row>
    <row r="361" spans="1:6" x14ac:dyDescent="0.3">
      <c r="A361" s="15"/>
      <c r="B361" s="1" t="s">
        <v>11</v>
      </c>
      <c r="C361" s="1">
        <v>911.21</v>
      </c>
      <c r="D361" s="4">
        <v>1.204E-2</v>
      </c>
      <c r="E361" s="5">
        <v>1.3673100000000001E-3</v>
      </c>
      <c r="F361" s="5">
        <v>1.9576099999999998E-3</v>
      </c>
    </row>
    <row r="362" spans="1:6" x14ac:dyDescent="0.3">
      <c r="A362" s="15"/>
      <c r="B362" s="1"/>
      <c r="C362" s="1">
        <v>968.97</v>
      </c>
      <c r="D362" s="5">
        <v>5.0181553300000003E-3</v>
      </c>
      <c r="E362" s="5">
        <v>1.02071E-3</v>
      </c>
      <c r="F362" s="5">
        <v>1.76261E-3</v>
      </c>
    </row>
    <row r="363" spans="1:6" x14ac:dyDescent="0.3">
      <c r="A363" s="15"/>
      <c r="B363" s="1"/>
      <c r="C363" s="1">
        <v>338.32</v>
      </c>
      <c r="D363" s="5">
        <v>9.8300479199999995E-3</v>
      </c>
      <c r="E363" s="5">
        <v>1.6488200000000001E-3</v>
      </c>
      <c r="F363" s="5">
        <v>3.1008799999999999E-3</v>
      </c>
    </row>
    <row r="364" spans="1:6" x14ac:dyDescent="0.3">
      <c r="A364" s="15"/>
      <c r="B364" s="1" t="s">
        <v>12</v>
      </c>
      <c r="C364" s="1">
        <v>2614.5300000000002</v>
      </c>
      <c r="D364" s="1"/>
      <c r="E364" s="1"/>
      <c r="F364" s="1"/>
    </row>
    <row r="365" spans="1:6" x14ac:dyDescent="0.3">
      <c r="A365" s="15"/>
      <c r="B365" s="1"/>
      <c r="C365" s="1">
        <v>583.19000000000005</v>
      </c>
      <c r="D365" s="4">
        <v>1.5610000000000001E-2</v>
      </c>
      <c r="E365" s="5">
        <v>1.6158699999999999E-3</v>
      </c>
      <c r="F365" s="5">
        <v>2.31715E-3</v>
      </c>
    </row>
    <row r="366" spans="1:6" x14ac:dyDescent="0.3">
      <c r="A366" s="15"/>
      <c r="B366" s="1"/>
      <c r="C366" s="1">
        <v>510.77</v>
      </c>
      <c r="D366" s="4">
        <v>2.4920000000000001E-2</v>
      </c>
      <c r="E366" s="5">
        <v>2.0500800000000001E-3</v>
      </c>
      <c r="F366" s="5">
        <v>3.0034100000000002E-3</v>
      </c>
    </row>
    <row r="367" spans="1:6" x14ac:dyDescent="0.3">
      <c r="A367" s="15"/>
      <c r="B367" s="1"/>
      <c r="C367" s="1">
        <v>860.56</v>
      </c>
      <c r="D367" s="1"/>
      <c r="E367" s="1"/>
      <c r="F367" s="1"/>
    </row>
    <row r="368" spans="1:6" x14ac:dyDescent="0.3">
      <c r="A368" s="15">
        <v>32</v>
      </c>
      <c r="B368" s="1" t="s">
        <v>7</v>
      </c>
      <c r="C368" s="1">
        <v>351.93</v>
      </c>
      <c r="D368" s="1"/>
      <c r="E368" s="1"/>
      <c r="F368" s="1"/>
    </row>
    <row r="369" spans="1:6" x14ac:dyDescent="0.3">
      <c r="A369" s="15"/>
      <c r="B369" s="1"/>
      <c r="C369" s="1">
        <v>295.22000000000003</v>
      </c>
      <c r="D369" s="4">
        <v>1.5610000000000001E-2</v>
      </c>
      <c r="E369" s="5">
        <v>1.9236800000000001E-3</v>
      </c>
      <c r="F369" s="5">
        <v>3.40866E-3</v>
      </c>
    </row>
    <row r="370" spans="1:6" x14ac:dyDescent="0.3">
      <c r="A370" s="15"/>
      <c r="B370" s="1" t="s">
        <v>8</v>
      </c>
      <c r="C370" s="1">
        <v>609.32000000000005</v>
      </c>
      <c r="D370" s="1"/>
      <c r="E370" s="1"/>
      <c r="F370" s="1"/>
    </row>
    <row r="371" spans="1:6" x14ac:dyDescent="0.3">
      <c r="A371" s="15"/>
      <c r="B371" s="1"/>
      <c r="C371" s="1">
        <v>1764.49</v>
      </c>
      <c r="D371" s="1"/>
      <c r="E371" s="1"/>
      <c r="F371" s="1"/>
    </row>
    <row r="372" spans="1:6" x14ac:dyDescent="0.3">
      <c r="A372" s="15"/>
      <c r="B372" s="1"/>
      <c r="C372" s="1">
        <v>1120.29</v>
      </c>
      <c r="D372" s="1"/>
      <c r="E372" s="1"/>
      <c r="F372" s="1"/>
    </row>
    <row r="373" spans="1:6" x14ac:dyDescent="0.3">
      <c r="A373" s="15"/>
      <c r="B373" s="1" t="s">
        <v>9</v>
      </c>
      <c r="C373" s="1">
        <v>1460.82</v>
      </c>
      <c r="D373" s="1"/>
      <c r="E373" s="1"/>
      <c r="F373" s="1"/>
    </row>
    <row r="374" spans="1:6" x14ac:dyDescent="0.3">
      <c r="A374" s="15"/>
      <c r="B374" s="1" t="s">
        <v>10</v>
      </c>
      <c r="C374" s="1">
        <v>238.63</v>
      </c>
      <c r="D374" s="4">
        <v>5.9569999999999998E-2</v>
      </c>
      <c r="E374" s="5">
        <v>3.1157799999999999E-3</v>
      </c>
      <c r="F374" s="5">
        <v>4.2985300000000001E-3</v>
      </c>
    </row>
    <row r="375" spans="1:6" x14ac:dyDescent="0.3">
      <c r="A375" s="15"/>
      <c r="B375" s="1" t="s">
        <v>11</v>
      </c>
      <c r="C375" s="1">
        <v>911.21</v>
      </c>
      <c r="D375" s="1"/>
      <c r="E375" s="1"/>
      <c r="F375" s="1"/>
    </row>
    <row r="376" spans="1:6" x14ac:dyDescent="0.3">
      <c r="A376" s="15"/>
      <c r="B376" s="1"/>
      <c r="C376" s="1">
        <v>968.97</v>
      </c>
      <c r="D376" s="1"/>
      <c r="E376" s="1"/>
      <c r="F376" s="1"/>
    </row>
    <row r="377" spans="1:6" x14ac:dyDescent="0.3">
      <c r="A377" s="15"/>
      <c r="B377" s="1"/>
      <c r="C377" s="1">
        <v>338.32</v>
      </c>
      <c r="D377" s="4">
        <v>1.1730000000000001E-2</v>
      </c>
      <c r="E377" s="5">
        <v>1.61546E-3</v>
      </c>
      <c r="F377" s="5">
        <v>2.84351E-3</v>
      </c>
    </row>
    <row r="378" spans="1:6" x14ac:dyDescent="0.3">
      <c r="A378" s="15"/>
      <c r="B378" s="1" t="s">
        <v>12</v>
      </c>
      <c r="C378" s="1">
        <v>2614.5300000000002</v>
      </c>
      <c r="D378" s="1"/>
      <c r="E378" s="1"/>
      <c r="F378" s="1"/>
    </row>
    <row r="379" spans="1:6" x14ac:dyDescent="0.3">
      <c r="A379" s="15"/>
      <c r="B379" s="1"/>
      <c r="C379" s="1">
        <v>583.19000000000005</v>
      </c>
      <c r="D379" s="4">
        <v>1.4619999999999999E-2</v>
      </c>
      <c r="E379" s="5">
        <v>1.6023299999999999E-3</v>
      </c>
      <c r="F379" s="5">
        <v>2.4495900000000002E-3</v>
      </c>
    </row>
    <row r="380" spans="1:6" x14ac:dyDescent="0.3">
      <c r="A380" s="15"/>
      <c r="B380" s="1"/>
      <c r="C380" s="1">
        <v>510.77</v>
      </c>
      <c r="D380" s="4">
        <v>2.7730000000000001E-2</v>
      </c>
      <c r="E380" s="5">
        <v>2.1766699999999999E-3</v>
      </c>
      <c r="F380" s="5">
        <v>3.2785599999999998E-3</v>
      </c>
    </row>
    <row r="381" spans="1:6" x14ac:dyDescent="0.3">
      <c r="A381" s="15"/>
      <c r="B381" s="1"/>
      <c r="C381" s="1">
        <v>860.56</v>
      </c>
      <c r="D381" s="5">
        <v>1.43111753E-3</v>
      </c>
      <c r="E381" s="5">
        <v>7.3978800000000001E-4</v>
      </c>
      <c r="F381" s="5">
        <v>1.5204800000000001E-3</v>
      </c>
    </row>
    <row r="382" spans="1:6" x14ac:dyDescent="0.3">
      <c r="A382" s="15">
        <v>33</v>
      </c>
      <c r="B382" s="1" t="s">
        <v>7</v>
      </c>
      <c r="C382" s="1">
        <v>351.93</v>
      </c>
      <c r="D382" s="4">
        <v>4.4150000000000002E-2</v>
      </c>
      <c r="E382" s="5">
        <v>2.5749900000000001E-3</v>
      </c>
      <c r="F382" s="5">
        <v>3.4120299999999999E-3</v>
      </c>
    </row>
    <row r="383" spans="1:6" x14ac:dyDescent="0.3">
      <c r="A383" s="15"/>
      <c r="B383" s="1"/>
      <c r="C383" s="1">
        <v>295.22000000000003</v>
      </c>
      <c r="D383" s="4">
        <v>2.5510000000000001E-2</v>
      </c>
      <c r="E383" s="5">
        <v>2.2461600000000001E-3</v>
      </c>
      <c r="F383" s="5">
        <v>3.6547300000000001E-3</v>
      </c>
    </row>
    <row r="384" spans="1:6" x14ac:dyDescent="0.3">
      <c r="A384" s="15"/>
      <c r="B384" s="1" t="s">
        <v>8</v>
      </c>
      <c r="C384" s="1">
        <v>609.32000000000005</v>
      </c>
      <c r="D384" s="4">
        <v>3.1710000000000002E-2</v>
      </c>
      <c r="E384" s="5">
        <v>2.0690000000000001E-3</v>
      </c>
      <c r="F384" s="5">
        <v>2.4415299999999999E-3</v>
      </c>
    </row>
    <row r="385" spans="1:6" x14ac:dyDescent="0.3">
      <c r="A385" s="15"/>
      <c r="B385" s="1"/>
      <c r="C385" s="1">
        <v>1764.49</v>
      </c>
      <c r="D385" s="1"/>
      <c r="E385" s="1"/>
      <c r="F385" s="1"/>
    </row>
    <row r="386" spans="1:6" x14ac:dyDescent="0.3">
      <c r="A386" s="15"/>
      <c r="B386" s="1"/>
      <c r="C386" s="1">
        <v>1120.29</v>
      </c>
      <c r="D386" s="1"/>
      <c r="E386" s="1"/>
      <c r="F386" s="1"/>
    </row>
    <row r="387" spans="1:6" x14ac:dyDescent="0.3">
      <c r="A387" s="15"/>
      <c r="B387" s="1" t="s">
        <v>9</v>
      </c>
      <c r="C387" s="1">
        <v>1460.82</v>
      </c>
      <c r="D387" s="5">
        <v>4.6565056899999999E-3</v>
      </c>
      <c r="E387" s="5">
        <v>1.0084099999999999E-3</v>
      </c>
      <c r="F387" s="5">
        <v>1.7167599999999999E-3</v>
      </c>
    </row>
    <row r="388" spans="1:6" x14ac:dyDescent="0.3">
      <c r="A388" s="15"/>
      <c r="B388" s="1" t="s">
        <v>10</v>
      </c>
      <c r="C388" s="1">
        <v>238.63</v>
      </c>
      <c r="D388" s="4">
        <v>9.0969999999999995E-2</v>
      </c>
      <c r="E388" s="5">
        <v>3.8107100000000001E-3</v>
      </c>
      <c r="F388" s="5">
        <v>5.3861999999999998E-3</v>
      </c>
    </row>
    <row r="389" spans="1:6" x14ac:dyDescent="0.3">
      <c r="A389" s="15"/>
      <c r="B389" s="1" t="s">
        <v>11</v>
      </c>
      <c r="C389" s="1">
        <v>911.21</v>
      </c>
      <c r="D389" s="4">
        <v>1.866E-2</v>
      </c>
      <c r="E389" s="5">
        <v>1.62032E-3</v>
      </c>
      <c r="F389" s="5">
        <v>2.0621099999999998E-3</v>
      </c>
    </row>
    <row r="390" spans="1:6" x14ac:dyDescent="0.3">
      <c r="A390" s="15"/>
      <c r="B390" s="1"/>
      <c r="C390" s="1">
        <v>968.97</v>
      </c>
      <c r="D390" s="5">
        <v>8.0026153900000004E-3</v>
      </c>
      <c r="E390" s="5">
        <v>1.2393300000000001E-3</v>
      </c>
      <c r="F390" s="5">
        <v>2.02271E-3</v>
      </c>
    </row>
    <row r="391" spans="1:6" x14ac:dyDescent="0.3">
      <c r="A391" s="15"/>
      <c r="B391" s="1"/>
      <c r="C391" s="1">
        <v>338.32</v>
      </c>
      <c r="D391" s="4">
        <v>1.9550000000000001E-2</v>
      </c>
      <c r="E391" s="5">
        <v>2.0021800000000001E-3</v>
      </c>
      <c r="F391" s="5">
        <v>3.3037499999999998E-3</v>
      </c>
    </row>
    <row r="392" spans="1:6" x14ac:dyDescent="0.3">
      <c r="A392" s="15"/>
      <c r="B392" s="1" t="s">
        <v>12</v>
      </c>
      <c r="C392" s="1">
        <v>2614.5300000000002</v>
      </c>
      <c r="D392" s="1"/>
      <c r="E392" s="1"/>
      <c r="F392" s="1"/>
    </row>
    <row r="393" spans="1:6" x14ac:dyDescent="0.3">
      <c r="A393" s="15"/>
      <c r="B393" s="1"/>
      <c r="C393" s="1">
        <v>583.19000000000005</v>
      </c>
      <c r="D393" s="4">
        <v>2.903E-2</v>
      </c>
      <c r="E393" s="5">
        <v>2.0561500000000001E-3</v>
      </c>
      <c r="F393" s="5">
        <v>2.7218300000000002E-3</v>
      </c>
    </row>
    <row r="394" spans="1:6" x14ac:dyDescent="0.3">
      <c r="A394" s="15"/>
      <c r="B394" s="1"/>
      <c r="C394" s="1">
        <v>510.77</v>
      </c>
      <c r="D394" s="4">
        <v>3.0360000000000002E-2</v>
      </c>
      <c r="E394" s="5">
        <v>2.2349100000000001E-3</v>
      </c>
      <c r="F394" s="5">
        <v>3.3148800000000001E-3</v>
      </c>
    </row>
    <row r="395" spans="1:6" x14ac:dyDescent="0.3">
      <c r="A395" s="15"/>
      <c r="B395" s="1"/>
      <c r="C395" s="1">
        <v>860.56</v>
      </c>
      <c r="D395" s="1"/>
      <c r="E395" s="1"/>
      <c r="F395" s="1"/>
    </row>
    <row r="396" spans="1:6" x14ac:dyDescent="0.3">
      <c r="A396" s="15">
        <v>34</v>
      </c>
      <c r="B396" s="1" t="s">
        <v>7</v>
      </c>
      <c r="C396" s="1">
        <v>351.93</v>
      </c>
      <c r="D396" s="4">
        <v>4.8140000000000002E-2</v>
      </c>
      <c r="E396" s="5">
        <v>2.6184200000000002E-3</v>
      </c>
      <c r="F396" s="5">
        <v>3.2967700000000001E-3</v>
      </c>
    </row>
    <row r="397" spans="1:6" x14ac:dyDescent="0.3">
      <c r="A397" s="15"/>
      <c r="B397" s="1"/>
      <c r="C397" s="1">
        <v>295.22000000000003</v>
      </c>
      <c r="D397" s="4">
        <v>2.9829999999999999E-2</v>
      </c>
      <c r="E397" s="5">
        <v>2.6308400000000002E-3</v>
      </c>
      <c r="F397" s="5">
        <v>4.6658100000000003E-3</v>
      </c>
    </row>
    <row r="398" spans="1:6" x14ac:dyDescent="0.3">
      <c r="A398" s="15"/>
      <c r="B398" s="1" t="s">
        <v>8</v>
      </c>
      <c r="C398" s="1">
        <v>609.32000000000005</v>
      </c>
      <c r="D398" s="4">
        <v>3.2489999999999998E-2</v>
      </c>
      <c r="E398" s="5">
        <v>2.12656E-3</v>
      </c>
      <c r="F398" s="5">
        <v>2.6512300000000001E-3</v>
      </c>
    </row>
    <row r="399" spans="1:6" x14ac:dyDescent="0.3">
      <c r="A399" s="15"/>
      <c r="B399" s="1"/>
      <c r="C399" s="1">
        <v>1764.49</v>
      </c>
      <c r="D399" s="1"/>
      <c r="E399" s="1"/>
      <c r="F399" s="1"/>
    </row>
    <row r="400" spans="1:6" x14ac:dyDescent="0.3">
      <c r="A400" s="15"/>
      <c r="B400" s="1"/>
      <c r="C400" s="1">
        <v>1120.29</v>
      </c>
      <c r="D400" s="5">
        <v>7.2695336999999997E-3</v>
      </c>
      <c r="E400" s="5">
        <v>1.1121600000000001E-3</v>
      </c>
      <c r="F400" s="5">
        <v>1.71265E-3</v>
      </c>
    </row>
    <row r="401" spans="1:6" x14ac:dyDescent="0.3">
      <c r="A401" s="15"/>
      <c r="B401" s="1" t="s">
        <v>9</v>
      </c>
      <c r="C401" s="1">
        <v>1460.82</v>
      </c>
      <c r="D401" s="1"/>
      <c r="E401" s="1"/>
      <c r="F401" s="1"/>
    </row>
    <row r="402" spans="1:6" x14ac:dyDescent="0.3">
      <c r="A402" s="15"/>
      <c r="B402" s="1" t="s">
        <v>10</v>
      </c>
      <c r="C402" s="1">
        <v>238.63</v>
      </c>
      <c r="D402" s="4">
        <v>0.10015</v>
      </c>
      <c r="E402" s="5">
        <v>4.01024E-3</v>
      </c>
      <c r="F402" s="5">
        <v>5.5761500000000002E-3</v>
      </c>
    </row>
    <row r="403" spans="1:6" x14ac:dyDescent="0.3">
      <c r="A403" s="15"/>
      <c r="B403" s="1" t="s">
        <v>11</v>
      </c>
      <c r="C403" s="1">
        <v>911.21</v>
      </c>
      <c r="D403" s="1"/>
      <c r="E403" s="1"/>
      <c r="F403" s="1"/>
    </row>
    <row r="404" spans="1:6" x14ac:dyDescent="0.3">
      <c r="A404" s="15"/>
      <c r="B404" s="1"/>
      <c r="C404" s="1">
        <v>968.97</v>
      </c>
      <c r="D404" s="1"/>
      <c r="E404" s="1"/>
      <c r="F404" s="1"/>
    </row>
    <row r="405" spans="1:6" x14ac:dyDescent="0.3">
      <c r="A405" s="15"/>
      <c r="B405" s="1"/>
      <c r="C405" s="1">
        <v>338.32</v>
      </c>
      <c r="D405" s="4">
        <v>2.0809999999999999E-2</v>
      </c>
      <c r="E405" s="5">
        <v>2.1058399999999999E-3</v>
      </c>
      <c r="F405" s="5">
        <v>3.53973E-3</v>
      </c>
    </row>
    <row r="406" spans="1:6" x14ac:dyDescent="0.3">
      <c r="A406" s="15"/>
      <c r="B406" s="1" t="s">
        <v>12</v>
      </c>
      <c r="C406" s="1">
        <v>2614.5300000000002</v>
      </c>
      <c r="D406" s="1"/>
      <c r="E406" s="1"/>
      <c r="F406" s="1"/>
    </row>
    <row r="407" spans="1:6" x14ac:dyDescent="0.3">
      <c r="A407" s="15"/>
      <c r="B407" s="1"/>
      <c r="C407" s="1">
        <v>583.19000000000005</v>
      </c>
      <c r="D407" s="4">
        <v>2.9069999999999999E-2</v>
      </c>
      <c r="E407" s="5">
        <v>2.1572200000000001E-3</v>
      </c>
      <c r="F407" s="5">
        <v>3.1008799999999999E-3</v>
      </c>
    </row>
    <row r="408" spans="1:6" x14ac:dyDescent="0.3">
      <c r="A408" s="15"/>
      <c r="B408" s="1"/>
      <c r="C408" s="1">
        <v>510.77</v>
      </c>
      <c r="D408" s="4">
        <v>3.0460000000000001E-2</v>
      </c>
      <c r="E408" s="5">
        <v>2.2734700000000001E-3</v>
      </c>
      <c r="F408" s="5">
        <v>3.4214599999999999E-3</v>
      </c>
    </row>
    <row r="409" spans="1:6" x14ac:dyDescent="0.3">
      <c r="A409" s="15"/>
      <c r="B409" s="1"/>
      <c r="C409" s="1">
        <v>860.56</v>
      </c>
      <c r="D409" s="1"/>
      <c r="E409" s="1"/>
      <c r="F409" s="1"/>
    </row>
    <row r="410" spans="1:6" x14ac:dyDescent="0.3">
      <c r="A410" s="15">
        <v>36</v>
      </c>
      <c r="B410" s="1" t="s">
        <v>7</v>
      </c>
      <c r="C410" s="1">
        <v>351.93</v>
      </c>
      <c r="D410" s="4">
        <v>0.97270000000000001</v>
      </c>
      <c r="E410" s="4">
        <v>1.099E-2</v>
      </c>
      <c r="F410" s="4">
        <v>1.123E-2</v>
      </c>
    </row>
    <row r="411" spans="1:6" x14ac:dyDescent="0.3">
      <c r="A411" s="15"/>
      <c r="B411" s="1"/>
      <c r="C411" s="1">
        <v>295.22000000000003</v>
      </c>
      <c r="D411" s="4">
        <v>0.57691000000000003</v>
      </c>
      <c r="E411" s="5">
        <v>9.7216100000000003E-3</v>
      </c>
      <c r="F411" s="4">
        <v>1.374E-2</v>
      </c>
    </row>
    <row r="412" spans="1:6" x14ac:dyDescent="0.3">
      <c r="A412" s="15"/>
      <c r="B412" s="1" t="s">
        <v>8</v>
      </c>
      <c r="C412" s="1">
        <v>609.32000000000005</v>
      </c>
      <c r="D412" s="4">
        <v>0.69674999999999998</v>
      </c>
      <c r="E412" s="5">
        <v>8.8737599999999996E-3</v>
      </c>
      <c r="F412" s="6">
        <v>7.0351500000000004E-3</v>
      </c>
    </row>
    <row r="413" spans="1:6" x14ac:dyDescent="0.3">
      <c r="A413" s="15"/>
      <c r="B413" s="1"/>
      <c r="C413" s="1">
        <v>1764.49</v>
      </c>
      <c r="D413" s="4">
        <v>0.10156</v>
      </c>
      <c r="E413" s="5">
        <v>3.4562299999999998E-3</v>
      </c>
      <c r="F413" s="5">
        <v>3.1053399999999998E-3</v>
      </c>
    </row>
    <row r="414" spans="1:6" x14ac:dyDescent="0.3">
      <c r="A414" s="15"/>
      <c r="B414" s="1"/>
      <c r="C414" s="1">
        <v>1120.29</v>
      </c>
      <c r="D414" s="4">
        <v>0.13891000000000001</v>
      </c>
      <c r="E414" s="5">
        <v>4.1848099999999997E-3</v>
      </c>
      <c r="F414" s="5">
        <v>4.4734700000000002E-3</v>
      </c>
    </row>
    <row r="415" spans="1:6" x14ac:dyDescent="0.3">
      <c r="A415" s="15"/>
      <c r="B415" s="1" t="s">
        <v>9</v>
      </c>
      <c r="C415" s="1">
        <v>1460.82</v>
      </c>
      <c r="D415" s="1"/>
      <c r="E415" s="1"/>
      <c r="F415" s="1"/>
    </row>
    <row r="416" spans="1:6" x14ac:dyDescent="0.3">
      <c r="A416" s="15"/>
      <c r="B416" s="1" t="s">
        <v>10</v>
      </c>
      <c r="C416" s="1">
        <v>238.63</v>
      </c>
      <c r="D416" s="4">
        <v>1.66917</v>
      </c>
      <c r="E416" s="4">
        <v>1.477E-2</v>
      </c>
      <c r="F416" s="4">
        <v>1.5959999999999998E-2</v>
      </c>
    </row>
    <row r="417" spans="1:6" x14ac:dyDescent="0.3">
      <c r="A417" s="15"/>
      <c r="B417" s="1" t="s">
        <v>11</v>
      </c>
      <c r="C417" s="1">
        <v>911.21</v>
      </c>
      <c r="D417" s="4">
        <v>0.30846000000000001</v>
      </c>
      <c r="E417" s="5">
        <v>6.0344099999999996E-3</v>
      </c>
      <c r="F417" s="5">
        <v>5.5044500000000001E-3</v>
      </c>
    </row>
    <row r="418" spans="1:6" x14ac:dyDescent="0.3">
      <c r="A418" s="15"/>
      <c r="B418" s="1"/>
      <c r="C418" s="1">
        <v>968.97</v>
      </c>
      <c r="D418" s="4">
        <v>0.18181</v>
      </c>
      <c r="E418" s="5">
        <v>4.9568600000000004E-3</v>
      </c>
      <c r="F418" s="5">
        <v>5.9376400000000001E-3</v>
      </c>
    </row>
    <row r="419" spans="1:6" x14ac:dyDescent="0.3">
      <c r="A419" s="15"/>
      <c r="B419" s="1"/>
      <c r="C419" s="1">
        <v>338.32</v>
      </c>
      <c r="D419" s="4">
        <v>0.31696999999999997</v>
      </c>
      <c r="E419" s="5">
        <v>7.1472699999999998E-3</v>
      </c>
      <c r="F419" s="5">
        <v>9.8795600000000008E-3</v>
      </c>
    </row>
    <row r="420" spans="1:6" x14ac:dyDescent="0.3">
      <c r="A420" s="15"/>
      <c r="B420" s="1" t="s">
        <v>12</v>
      </c>
      <c r="C420" s="1">
        <v>2614.5300000000002</v>
      </c>
      <c r="D420" s="4">
        <v>0.15751000000000001</v>
      </c>
      <c r="E420" s="5">
        <v>4.0355699999999996E-3</v>
      </c>
      <c r="F420" s="5">
        <v>1.7606200000000001E-3</v>
      </c>
    </row>
    <row r="421" spans="1:6" x14ac:dyDescent="0.3">
      <c r="A421" s="15"/>
      <c r="B421" s="1"/>
      <c r="C421" s="1">
        <v>583.19000000000005</v>
      </c>
      <c r="D421" s="4">
        <v>0.4854</v>
      </c>
      <c r="E421" s="5">
        <v>7.7211399999999996E-3</v>
      </c>
      <c r="F421" s="5">
        <v>7.68514E-3</v>
      </c>
    </row>
    <row r="422" spans="1:6" x14ac:dyDescent="0.3">
      <c r="A422" s="15"/>
      <c r="B422" s="1"/>
      <c r="C422" s="1">
        <v>510.77</v>
      </c>
      <c r="D422" s="4">
        <v>0.16642999999999999</v>
      </c>
      <c r="E422" s="5">
        <v>5.3757500000000003E-3</v>
      </c>
      <c r="F422" s="5">
        <v>8.1991800000000004E-3</v>
      </c>
    </row>
    <row r="423" spans="1:6" x14ac:dyDescent="0.3">
      <c r="A423" s="15"/>
      <c r="B423" s="1"/>
      <c r="C423" s="1">
        <v>860.56</v>
      </c>
      <c r="D423" s="1"/>
      <c r="E423" s="1"/>
      <c r="F423" s="1"/>
    </row>
    <row r="424" spans="1:6" x14ac:dyDescent="0.3">
      <c r="A424" s="15">
        <v>37</v>
      </c>
      <c r="B424" s="1" t="s">
        <v>7</v>
      </c>
      <c r="C424" s="1">
        <v>351.93</v>
      </c>
      <c r="D424" s="4">
        <v>3.2606299999999999</v>
      </c>
      <c r="E424" s="4">
        <v>1.9890000000000001E-2</v>
      </c>
      <c r="F424" s="4">
        <v>1.9279999999999999E-2</v>
      </c>
    </row>
    <row r="425" spans="1:6" x14ac:dyDescent="0.3">
      <c r="A425" s="15"/>
      <c r="B425" s="1"/>
      <c r="C425" s="1">
        <v>295.22000000000003</v>
      </c>
      <c r="D425" s="4">
        <v>1.91998</v>
      </c>
      <c r="E425" s="4">
        <v>1.9949999999999999E-2</v>
      </c>
      <c r="F425" s="4">
        <v>3.3360000000000001E-2</v>
      </c>
    </row>
    <row r="426" spans="1:6" x14ac:dyDescent="0.3">
      <c r="A426" s="15"/>
      <c r="B426" s="1" t="s">
        <v>8</v>
      </c>
      <c r="C426" s="1">
        <v>609.32000000000005</v>
      </c>
      <c r="D426" s="4">
        <v>2.2785199999999999</v>
      </c>
      <c r="E426" s="4">
        <v>1.6219999999999998E-2</v>
      </c>
      <c r="F426" s="4">
        <v>1.3809999999999999E-2</v>
      </c>
    </row>
    <row r="427" spans="1:6" x14ac:dyDescent="0.3">
      <c r="A427" s="15"/>
      <c r="B427" s="1"/>
      <c r="C427" s="1">
        <v>1764.49</v>
      </c>
      <c r="D427" s="4">
        <v>0.35510999999999998</v>
      </c>
      <c r="E427" s="5">
        <v>6.3442999999999998E-3</v>
      </c>
      <c r="F427" s="5">
        <v>5.1146999999999998E-3</v>
      </c>
    </row>
    <row r="428" spans="1:6" x14ac:dyDescent="0.3">
      <c r="A428" s="15"/>
      <c r="B428" s="1"/>
      <c r="C428" s="1">
        <v>1120.29</v>
      </c>
      <c r="D428" s="4">
        <v>0.46309</v>
      </c>
      <c r="E428" s="5">
        <v>8.1542699999999999E-3</v>
      </c>
      <c r="F428" s="4">
        <v>1.043E-2</v>
      </c>
    </row>
    <row r="429" spans="1:6" x14ac:dyDescent="0.3">
      <c r="A429" s="15"/>
      <c r="B429" s="1" t="s">
        <v>9</v>
      </c>
      <c r="C429" s="1">
        <v>1460.82</v>
      </c>
      <c r="D429" s="4">
        <v>3.5299999999999998E-2</v>
      </c>
      <c r="E429" s="5">
        <v>3.4043400000000001E-3</v>
      </c>
      <c r="F429" s="5">
        <v>6.6640800000000002E-3</v>
      </c>
    </row>
    <row r="430" spans="1:6" x14ac:dyDescent="0.3">
      <c r="A430" s="15"/>
      <c r="B430" s="1" t="s">
        <v>10</v>
      </c>
      <c r="C430" s="1">
        <v>238.63</v>
      </c>
      <c r="D430" s="4">
        <v>6.2031200000000002</v>
      </c>
      <c r="E430" s="4">
        <v>2.8590000000000001E-2</v>
      </c>
      <c r="F430" s="4">
        <v>3.2410000000000001E-2</v>
      </c>
    </row>
    <row r="431" spans="1:6" x14ac:dyDescent="0.3">
      <c r="A431" s="15"/>
      <c r="B431" s="1" t="s">
        <v>11</v>
      </c>
      <c r="C431" s="1">
        <v>911.21</v>
      </c>
      <c r="D431" s="4">
        <v>1.15089</v>
      </c>
      <c r="E431" s="4">
        <v>1.1560000000000001E-2</v>
      </c>
      <c r="F431" s="5">
        <v>9.9718600000000008E-3</v>
      </c>
    </row>
    <row r="432" spans="1:6" x14ac:dyDescent="0.3">
      <c r="A432" s="15"/>
      <c r="B432" s="1"/>
      <c r="C432" s="1">
        <v>968.97</v>
      </c>
      <c r="D432" s="4">
        <v>0.66501999999999994</v>
      </c>
      <c r="E432" s="5">
        <v>9.2895500000000006E-3</v>
      </c>
      <c r="F432" s="4">
        <v>1.022E-2</v>
      </c>
    </row>
    <row r="433" spans="1:6" x14ac:dyDescent="0.3">
      <c r="A433" s="15"/>
      <c r="B433" s="1"/>
      <c r="C433" s="1">
        <v>338.32</v>
      </c>
      <c r="D433" s="4">
        <v>1.1526799999999999</v>
      </c>
      <c r="E433" s="4">
        <v>1.427E-2</v>
      </c>
      <c r="F433" s="4">
        <v>2.1770000000000001E-2</v>
      </c>
    </row>
    <row r="434" spans="1:6" x14ac:dyDescent="0.3">
      <c r="A434" s="15"/>
      <c r="B434" s="1" t="s">
        <v>12</v>
      </c>
      <c r="C434" s="1">
        <v>2614.5300000000002</v>
      </c>
      <c r="D434" s="4">
        <v>0.58709999999999996</v>
      </c>
      <c r="E434" s="5">
        <v>7.75189E-3</v>
      </c>
      <c r="F434" s="5">
        <v>2.7773300000000002E-3</v>
      </c>
    </row>
    <row r="435" spans="1:6" x14ac:dyDescent="0.3">
      <c r="A435" s="15"/>
      <c r="B435" s="1"/>
      <c r="C435" s="1">
        <v>583.19000000000005</v>
      </c>
      <c r="D435" s="4">
        <v>1.7882499999999999</v>
      </c>
      <c r="E435" s="4">
        <v>1.481E-2</v>
      </c>
      <c r="F435" s="4">
        <v>1.448E-2</v>
      </c>
    </row>
    <row r="436" spans="1:6" x14ac:dyDescent="0.3">
      <c r="A436" s="15"/>
      <c r="B436" s="1"/>
      <c r="C436" s="1">
        <v>510.77</v>
      </c>
      <c r="D436" s="4">
        <v>0.56976000000000004</v>
      </c>
      <c r="E436" s="5">
        <v>9.9999300000000006E-3</v>
      </c>
      <c r="F436" s="4">
        <v>1.516E-2</v>
      </c>
    </row>
    <row r="437" spans="1:6" x14ac:dyDescent="0.3">
      <c r="A437" s="15"/>
      <c r="B437" s="1"/>
      <c r="C437" s="1">
        <v>860.56</v>
      </c>
      <c r="D437" s="4">
        <v>0.19975999999999999</v>
      </c>
      <c r="E437" s="5">
        <v>5.8697799999999998E-3</v>
      </c>
      <c r="F437" s="5">
        <v>8.8850400000000003E-3</v>
      </c>
    </row>
    <row r="438" spans="1:6" x14ac:dyDescent="0.3">
      <c r="A438" s="15">
        <v>38</v>
      </c>
      <c r="B438" s="1" t="s">
        <v>7</v>
      </c>
      <c r="C438" s="1">
        <v>351.93</v>
      </c>
      <c r="D438" s="4">
        <v>1.1753</v>
      </c>
      <c r="E438" s="4">
        <v>1.2070000000000001E-2</v>
      </c>
      <c r="F438" s="4">
        <v>1.234E-2</v>
      </c>
    </row>
    <row r="439" spans="1:6" x14ac:dyDescent="0.3">
      <c r="A439" s="15"/>
      <c r="B439" s="1"/>
      <c r="C439" s="1">
        <v>295.22000000000003</v>
      </c>
      <c r="D439" s="4">
        <v>0.69269000000000003</v>
      </c>
      <c r="E439" s="4">
        <v>1.112E-2</v>
      </c>
      <c r="F439" s="4">
        <v>1.7100000000000001E-2</v>
      </c>
    </row>
    <row r="440" spans="1:6" x14ac:dyDescent="0.3">
      <c r="A440" s="15"/>
      <c r="B440" s="1" t="s">
        <v>8</v>
      </c>
      <c r="C440" s="1">
        <v>609.32000000000005</v>
      </c>
      <c r="D440" s="4">
        <v>0.81860999999999995</v>
      </c>
      <c r="E440" s="5">
        <v>9.7639900000000002E-3</v>
      </c>
      <c r="F440" s="5">
        <v>8.6010600000000006E-3</v>
      </c>
    </row>
    <row r="441" spans="1:6" x14ac:dyDescent="0.3">
      <c r="A441" s="15"/>
      <c r="B441" s="1"/>
      <c r="C441" s="1">
        <v>1764.49</v>
      </c>
      <c r="D441" s="1"/>
      <c r="E441" s="1"/>
      <c r="F441" s="1"/>
    </row>
    <row r="442" spans="1:6" x14ac:dyDescent="0.3">
      <c r="A442" s="15"/>
      <c r="B442" s="1"/>
      <c r="C442" s="1">
        <v>1120.29</v>
      </c>
      <c r="D442" s="4">
        <v>0.17161999999999999</v>
      </c>
      <c r="E442" s="5">
        <v>4.6430500000000001E-3</v>
      </c>
      <c r="F442" s="5">
        <v>4.7815599999999998E-3</v>
      </c>
    </row>
    <row r="443" spans="1:6" x14ac:dyDescent="0.3">
      <c r="A443" s="15"/>
      <c r="B443" s="1" t="s">
        <v>9</v>
      </c>
      <c r="C443" s="1">
        <v>1460.82</v>
      </c>
      <c r="D443" s="4">
        <v>4.6440000000000002E-2</v>
      </c>
      <c r="E443" s="5">
        <v>2.7939699999999998E-3</v>
      </c>
      <c r="F443" s="5">
        <v>4.1883700000000003E-3</v>
      </c>
    </row>
    <row r="444" spans="1:6" x14ac:dyDescent="0.3">
      <c r="A444" s="15"/>
      <c r="B444" s="1" t="s">
        <v>10</v>
      </c>
      <c r="C444" s="1">
        <v>238.63</v>
      </c>
      <c r="D444" s="4">
        <v>2.5087999999999999</v>
      </c>
      <c r="E444" s="4">
        <v>1.7989999999999999E-2</v>
      </c>
      <c r="F444" s="4">
        <v>1.958E-2</v>
      </c>
    </row>
    <row r="445" spans="1:6" x14ac:dyDescent="0.3">
      <c r="A445" s="15"/>
      <c r="B445" s="1" t="s">
        <v>11</v>
      </c>
      <c r="C445" s="1">
        <v>911.21</v>
      </c>
      <c r="D445" s="4">
        <v>0.47403000000000001</v>
      </c>
      <c r="E445" s="5">
        <v>7.3928500000000003E-3</v>
      </c>
      <c r="F445" s="5">
        <v>6.2369499999999998E-3</v>
      </c>
    </row>
    <row r="446" spans="1:6" x14ac:dyDescent="0.3">
      <c r="A446" s="15"/>
      <c r="B446" s="1"/>
      <c r="C446" s="1">
        <v>968.97</v>
      </c>
      <c r="D446" s="4">
        <v>0.27714</v>
      </c>
      <c r="E446" s="5">
        <v>6.0372899999999998E-3</v>
      </c>
      <c r="F446" s="5">
        <v>6.8301799999999999E-3</v>
      </c>
    </row>
    <row r="447" spans="1:6" x14ac:dyDescent="0.3">
      <c r="A447" s="15"/>
      <c r="B447" s="1"/>
      <c r="C447" s="1">
        <v>338.32</v>
      </c>
      <c r="D447" s="4">
        <v>0.48300999999999999</v>
      </c>
      <c r="E447" s="4">
        <v>1.09E-2</v>
      </c>
      <c r="F447" s="4">
        <v>1.9400000000000001E-2</v>
      </c>
    </row>
    <row r="448" spans="1:6" x14ac:dyDescent="0.3">
      <c r="A448" s="15"/>
      <c r="B448" s="1" t="s">
        <v>12</v>
      </c>
      <c r="C448" s="1">
        <v>2614.5300000000002</v>
      </c>
      <c r="D448" s="4">
        <v>0.23547000000000001</v>
      </c>
      <c r="E448" s="5">
        <v>4.94686E-3</v>
      </c>
      <c r="F448" s="5">
        <v>2.1987600000000001E-3</v>
      </c>
    </row>
    <row r="449" spans="1:6" x14ac:dyDescent="0.3">
      <c r="A449" s="15"/>
      <c r="B449" s="1"/>
      <c r="C449" s="1">
        <v>583.19000000000005</v>
      </c>
      <c r="D449" s="4">
        <v>0.71806999999999999</v>
      </c>
      <c r="E449" s="5">
        <v>9.5098200000000004E-3</v>
      </c>
      <c r="F449" s="5">
        <v>9.9632100000000001E-3</v>
      </c>
    </row>
    <row r="450" spans="1:6" x14ac:dyDescent="0.3">
      <c r="A450" s="15"/>
      <c r="B450" s="1"/>
      <c r="C450" s="1">
        <v>510.77</v>
      </c>
      <c r="D450" s="4">
        <v>0.23882999999999999</v>
      </c>
      <c r="E450" s="5">
        <v>6.3472099999999998E-3</v>
      </c>
      <c r="F450" s="5">
        <v>9.3323699999999996E-3</v>
      </c>
    </row>
    <row r="451" spans="1:6" x14ac:dyDescent="0.3">
      <c r="A451" s="15"/>
      <c r="B451" s="1"/>
      <c r="C451" s="1">
        <v>860.56</v>
      </c>
      <c r="D451" s="4">
        <v>8.3799999999999999E-2</v>
      </c>
      <c r="E451" s="5">
        <v>3.8123599999999999E-3</v>
      </c>
      <c r="F451" s="5">
        <v>5.7363400000000004E-3</v>
      </c>
    </row>
    <row r="452" spans="1:6" x14ac:dyDescent="0.3">
      <c r="A452" s="15">
        <v>39</v>
      </c>
      <c r="B452" s="1" t="s">
        <v>7</v>
      </c>
      <c r="C452" s="1">
        <v>351.93</v>
      </c>
      <c r="D452" s="4">
        <v>0.71184000000000003</v>
      </c>
      <c r="E452" s="5">
        <v>9.6402799999999993E-3</v>
      </c>
      <c r="F452" s="4">
        <v>1.09E-2</v>
      </c>
    </row>
    <row r="453" spans="1:6" x14ac:dyDescent="0.3">
      <c r="A453" s="15"/>
      <c r="B453" s="1"/>
      <c r="C453" s="1">
        <v>295.22000000000003</v>
      </c>
      <c r="D453" s="4">
        <v>0.41313</v>
      </c>
      <c r="E453" s="5">
        <v>8.8040099999999993E-3</v>
      </c>
      <c r="F453" s="4">
        <v>1.4030000000000001E-2</v>
      </c>
    </row>
    <row r="454" spans="1:6" x14ac:dyDescent="0.3">
      <c r="A454" s="15"/>
      <c r="B454" s="1" t="s">
        <v>8</v>
      </c>
      <c r="C454" s="1">
        <v>609.32000000000005</v>
      </c>
      <c r="D454" s="4">
        <v>0.49719000000000002</v>
      </c>
      <c r="E454" s="5">
        <v>7.7662599999999997E-3</v>
      </c>
      <c r="F454" s="5">
        <v>7.5925100000000002E-3</v>
      </c>
    </row>
    <row r="455" spans="1:6" x14ac:dyDescent="0.3">
      <c r="A455" s="15"/>
      <c r="B455" s="1"/>
      <c r="C455" s="1">
        <v>1764.49</v>
      </c>
      <c r="D455" s="4">
        <v>7.6560000000000003E-2</v>
      </c>
      <c r="E455" s="5">
        <v>3.0276499999999998E-3</v>
      </c>
      <c r="F455" s="5">
        <v>2.8782299999999999E-3</v>
      </c>
    </row>
    <row r="456" spans="1:6" x14ac:dyDescent="0.3">
      <c r="A456" s="15"/>
      <c r="B456" s="1"/>
      <c r="C456" s="1">
        <v>1120.29</v>
      </c>
      <c r="D456" s="4">
        <v>9.3439999999999995E-2</v>
      </c>
      <c r="E456" s="5">
        <v>3.5690499999999998E-3</v>
      </c>
      <c r="F456" s="5">
        <v>4.2332699999999999E-3</v>
      </c>
    </row>
    <row r="457" spans="1:6" x14ac:dyDescent="0.3">
      <c r="A457" s="15"/>
      <c r="B457" s="1" t="s">
        <v>9</v>
      </c>
      <c r="C457" s="1">
        <v>1460.82</v>
      </c>
      <c r="D457" s="4">
        <v>3.1759999999999997E-2</v>
      </c>
      <c r="E457" s="5">
        <v>2.43633E-3</v>
      </c>
      <c r="F457" s="5">
        <v>3.7880399999999999E-3</v>
      </c>
    </row>
    <row r="458" spans="1:6" x14ac:dyDescent="0.3">
      <c r="A458" s="15"/>
      <c r="B458" s="1" t="s">
        <v>10</v>
      </c>
      <c r="C458" s="1">
        <v>238.63</v>
      </c>
      <c r="D458" s="4">
        <v>2.4985200000000001</v>
      </c>
      <c r="E458" s="4">
        <v>1.7389999999999999E-2</v>
      </c>
      <c r="F458" s="4">
        <v>1.678E-2</v>
      </c>
    </row>
    <row r="459" spans="1:6" x14ac:dyDescent="0.3">
      <c r="A459" s="15"/>
      <c r="B459" s="1" t="s">
        <v>11</v>
      </c>
      <c r="C459" s="1">
        <v>911.21</v>
      </c>
      <c r="D459" s="4">
        <v>0.41253000000000001</v>
      </c>
      <c r="E459" s="5">
        <v>6.8027599999999997E-3</v>
      </c>
      <c r="F459" s="5">
        <v>5.2539700000000002E-3</v>
      </c>
    </row>
    <row r="460" spans="1:6" x14ac:dyDescent="0.3">
      <c r="A460" s="15"/>
      <c r="B460" s="1"/>
      <c r="C460" s="1">
        <v>968.97</v>
      </c>
      <c r="D460" s="4">
        <v>0.23554</v>
      </c>
      <c r="E460" s="5">
        <v>5.58466E-3</v>
      </c>
      <c r="F460" s="5">
        <v>6.4422500000000001E-3</v>
      </c>
    </row>
    <row r="461" spans="1:6" x14ac:dyDescent="0.3">
      <c r="A461" s="15"/>
      <c r="B461" s="1"/>
      <c r="C461" s="1">
        <v>338.32</v>
      </c>
      <c r="D461" s="4">
        <v>0.42020999999999997</v>
      </c>
      <c r="E461" s="5">
        <v>9.7238600000000008E-3</v>
      </c>
      <c r="F461" s="4">
        <v>1.6729999999999998E-2</v>
      </c>
    </row>
    <row r="462" spans="1:6" x14ac:dyDescent="0.3">
      <c r="A462" s="15"/>
      <c r="B462" s="1" t="s">
        <v>12</v>
      </c>
      <c r="C462" s="1">
        <v>2614.5300000000002</v>
      </c>
      <c r="D462" s="4">
        <v>0.20305000000000001</v>
      </c>
      <c r="E462" s="5">
        <v>4.5725599999999998E-3</v>
      </c>
      <c r="F462" s="5">
        <v>1.8608800000000001E-3</v>
      </c>
    </row>
    <row r="463" spans="1:6" x14ac:dyDescent="0.3">
      <c r="A463" s="15"/>
      <c r="B463" s="1"/>
      <c r="C463" s="1">
        <v>583.19000000000005</v>
      </c>
      <c r="D463" s="4">
        <v>0.64509000000000005</v>
      </c>
      <c r="E463" s="5">
        <v>8.8093300000000006E-3</v>
      </c>
      <c r="F463" s="6">
        <v>8.4661500000000004E-3</v>
      </c>
    </row>
    <row r="464" spans="1:6" x14ac:dyDescent="0.3">
      <c r="A464" s="15"/>
      <c r="B464" s="1"/>
      <c r="C464" s="1">
        <v>510.77</v>
      </c>
      <c r="D464" s="4">
        <v>0.21481</v>
      </c>
      <c r="E464" s="5">
        <v>5.8659200000000002E-3</v>
      </c>
      <c r="F464" s="5">
        <v>8.3003199999999999E-3</v>
      </c>
    </row>
    <row r="465" spans="1:6" x14ac:dyDescent="0.3">
      <c r="A465" s="15"/>
      <c r="B465" s="1"/>
      <c r="C465" s="1">
        <v>860.56</v>
      </c>
      <c r="D465" s="4">
        <v>7.0809999999999998E-2</v>
      </c>
      <c r="E465" s="5">
        <v>3.3931899999999999E-3</v>
      </c>
      <c r="F465" s="5">
        <v>4.9336299999999996E-3</v>
      </c>
    </row>
    <row r="466" spans="1:6" x14ac:dyDescent="0.3">
      <c r="A466" s="15">
        <v>40</v>
      </c>
      <c r="B466" s="1" t="s">
        <v>7</v>
      </c>
      <c r="C466" s="1">
        <v>351.93</v>
      </c>
      <c r="D466" s="4">
        <v>0.39842</v>
      </c>
      <c r="E466" s="5">
        <v>7.2869400000000004E-3</v>
      </c>
      <c r="F466" s="5">
        <v>8.5216800000000002E-3</v>
      </c>
    </row>
    <row r="467" spans="1:6" x14ac:dyDescent="0.3">
      <c r="A467" s="15"/>
      <c r="B467" s="1"/>
      <c r="C467" s="1">
        <v>295.22000000000003</v>
      </c>
      <c r="D467" s="4">
        <v>0.2392</v>
      </c>
      <c r="E467" s="5">
        <v>6.7847999999999997E-3</v>
      </c>
      <c r="F467" s="4">
        <v>1.0840000000000001E-2</v>
      </c>
    </row>
    <row r="468" spans="1:6" x14ac:dyDescent="0.3">
      <c r="A468" s="15"/>
      <c r="B468" s="1" t="s">
        <v>8</v>
      </c>
      <c r="C468" s="1">
        <v>609.32000000000005</v>
      </c>
      <c r="D468" s="4">
        <v>0.27850000000000003</v>
      </c>
      <c r="E468" s="5">
        <v>5.8179199999999999E-3</v>
      </c>
      <c r="F468" s="5">
        <v>5.7512400000000003E-3</v>
      </c>
    </row>
    <row r="469" spans="1:6" x14ac:dyDescent="0.3">
      <c r="A469" s="15"/>
      <c r="B469" s="1"/>
      <c r="C469" s="1">
        <v>1764.49</v>
      </c>
      <c r="D469" s="4">
        <v>3.9669999999999997E-2</v>
      </c>
      <c r="E469" s="5">
        <v>2.2403000000000002E-3</v>
      </c>
      <c r="F469" s="5">
        <v>2.44722E-3</v>
      </c>
    </row>
    <row r="470" spans="1:6" x14ac:dyDescent="0.3">
      <c r="A470" s="15"/>
      <c r="B470" s="1"/>
      <c r="C470" s="1">
        <v>1120.29</v>
      </c>
      <c r="D470" s="4">
        <v>5.3719999999999997E-2</v>
      </c>
      <c r="E470" s="5">
        <v>2.7091699999999999E-3</v>
      </c>
      <c r="F470" s="5">
        <v>3.2911799999999999E-3</v>
      </c>
    </row>
    <row r="471" spans="1:6" x14ac:dyDescent="0.3">
      <c r="A471" s="15"/>
      <c r="B471" s="1" t="s">
        <v>9</v>
      </c>
      <c r="C471" s="1">
        <v>1460.82</v>
      </c>
      <c r="D471" s="4">
        <v>2.9929999999999998E-2</v>
      </c>
      <c r="E471" s="5">
        <v>2.1018299999999998E-3</v>
      </c>
      <c r="F471" s="5">
        <v>2.8365999999999999E-3</v>
      </c>
    </row>
    <row r="472" spans="1:6" x14ac:dyDescent="0.3">
      <c r="A472" s="15"/>
      <c r="B472" s="1" t="s">
        <v>10</v>
      </c>
      <c r="C472" s="1">
        <v>238.63</v>
      </c>
      <c r="D472" s="4">
        <v>1.1232800000000001</v>
      </c>
      <c r="E472" s="4">
        <v>1.35E-2</v>
      </c>
      <c r="F472" s="4">
        <v>1.6639999999999999E-2</v>
      </c>
    </row>
    <row r="473" spans="1:6" x14ac:dyDescent="0.3">
      <c r="A473" s="15"/>
      <c r="B473" s="1" t="s">
        <v>11</v>
      </c>
      <c r="C473" s="1">
        <v>911.21</v>
      </c>
      <c r="D473" s="4">
        <v>0.23102</v>
      </c>
      <c r="E473" s="5">
        <v>5.14446E-3</v>
      </c>
      <c r="F473" s="5">
        <v>4.2979999999999997E-3</v>
      </c>
    </row>
    <row r="474" spans="1:6" x14ac:dyDescent="0.3">
      <c r="A474" s="15"/>
      <c r="B474" s="1"/>
      <c r="C474" s="1">
        <v>968.97</v>
      </c>
      <c r="D474" s="4">
        <v>0.13419</v>
      </c>
      <c r="E474" s="5">
        <v>4.1158399999999999E-3</v>
      </c>
      <c r="F474" s="5">
        <v>4.3996599999999997E-3</v>
      </c>
    </row>
    <row r="475" spans="1:6" x14ac:dyDescent="0.3">
      <c r="A475" s="15"/>
      <c r="B475" s="1"/>
      <c r="C475" s="1">
        <v>338.32</v>
      </c>
      <c r="D475" s="4">
        <v>0.24865000000000001</v>
      </c>
      <c r="E475" s="5">
        <v>7.4515199999999997E-3</v>
      </c>
      <c r="F475" s="4">
        <v>1.2880000000000001E-2</v>
      </c>
    </row>
    <row r="476" spans="1:6" x14ac:dyDescent="0.3">
      <c r="A476" s="15"/>
      <c r="B476" s="1" t="s">
        <v>12</v>
      </c>
      <c r="C476" s="1">
        <v>2614.5300000000002</v>
      </c>
      <c r="D476" s="4">
        <v>0.11408</v>
      </c>
      <c r="E476" s="5">
        <v>3.4931200000000002E-3</v>
      </c>
      <c r="F476" s="5">
        <v>2.0722599999999998E-3</v>
      </c>
    </row>
    <row r="477" spans="1:6" x14ac:dyDescent="0.3">
      <c r="A477" s="15"/>
      <c r="B477" s="1"/>
      <c r="C477" s="1">
        <v>583.19000000000005</v>
      </c>
      <c r="D477" s="4">
        <v>0.36353000000000002</v>
      </c>
      <c r="E477" s="5">
        <v>6.6060299999999997E-3</v>
      </c>
      <c r="F477" s="5">
        <v>6.2314600000000003E-3</v>
      </c>
    </row>
    <row r="478" spans="1:6" x14ac:dyDescent="0.3">
      <c r="A478" s="15"/>
      <c r="B478" s="1"/>
      <c r="C478" s="1">
        <v>510.77</v>
      </c>
      <c r="D478" s="4">
        <v>0.12726000000000001</v>
      </c>
      <c r="E478" s="5">
        <v>5.0006299999999998E-3</v>
      </c>
      <c r="F478" s="5">
        <v>8.1046199999999999E-3</v>
      </c>
    </row>
    <row r="479" spans="1:6" x14ac:dyDescent="0.3">
      <c r="A479" s="15"/>
      <c r="B479" s="1"/>
      <c r="C479" s="1">
        <v>860.56</v>
      </c>
      <c r="D479" s="4">
        <v>4.0570000000000002E-2</v>
      </c>
      <c r="E479" s="5">
        <v>2.6604100000000002E-3</v>
      </c>
      <c r="F479" s="5">
        <v>4.0449600000000002E-3</v>
      </c>
    </row>
    <row r="480" spans="1:6" x14ac:dyDescent="0.3">
      <c r="A480" s="15">
        <v>42</v>
      </c>
      <c r="B480" s="1" t="s">
        <v>7</v>
      </c>
      <c r="C480" s="1">
        <v>351.93</v>
      </c>
      <c r="D480" s="4">
        <v>2.1950000000000001E-2</v>
      </c>
      <c r="E480" s="5">
        <v>1.9134499999999999E-3</v>
      </c>
      <c r="F480" s="5">
        <v>2.8593099999999999E-3</v>
      </c>
    </row>
    <row r="481" spans="1:6" x14ac:dyDescent="0.3">
      <c r="A481" s="15"/>
      <c r="B481" s="1"/>
      <c r="C481" s="1">
        <v>295.22000000000003</v>
      </c>
      <c r="D481" s="1"/>
      <c r="E481" s="1"/>
      <c r="F481" s="1"/>
    </row>
    <row r="482" spans="1:6" x14ac:dyDescent="0.3">
      <c r="A482" s="15"/>
      <c r="B482" s="1" t="s">
        <v>8</v>
      </c>
      <c r="C482" s="1">
        <v>609.32000000000005</v>
      </c>
      <c r="D482" s="4">
        <v>1.7649999999999999E-2</v>
      </c>
      <c r="E482" s="5">
        <v>1.61443E-3</v>
      </c>
      <c r="F482" s="5">
        <v>2.1592400000000002E-3</v>
      </c>
    </row>
    <row r="483" spans="1:6" x14ac:dyDescent="0.3">
      <c r="A483" s="15"/>
      <c r="B483" s="1"/>
      <c r="C483" s="1">
        <v>1764.49</v>
      </c>
      <c r="D483" s="5">
        <v>1.90830605E-3</v>
      </c>
      <c r="E483" s="5">
        <v>6.6743E-4</v>
      </c>
      <c r="F483" s="5">
        <v>1.1914E-3</v>
      </c>
    </row>
    <row r="484" spans="1:6" x14ac:dyDescent="0.3">
      <c r="A484" s="15"/>
      <c r="B484" s="1"/>
      <c r="C484" s="1">
        <v>1120.29</v>
      </c>
      <c r="D484" s="1"/>
      <c r="E484" s="1"/>
      <c r="F484" s="1"/>
    </row>
    <row r="485" spans="1:6" x14ac:dyDescent="0.3">
      <c r="A485" s="15"/>
      <c r="B485" s="1" t="s">
        <v>9</v>
      </c>
      <c r="C485" s="1">
        <v>1460.82</v>
      </c>
      <c r="D485" s="1">
        <v>0</v>
      </c>
      <c r="E485" s="5">
        <v>0</v>
      </c>
      <c r="F485" s="5">
        <v>0</v>
      </c>
    </row>
    <row r="486" spans="1:6" x14ac:dyDescent="0.3">
      <c r="A486" s="15"/>
      <c r="B486" s="1" t="s">
        <v>10</v>
      </c>
      <c r="C486" s="1">
        <v>238.63</v>
      </c>
      <c r="D486" s="4">
        <v>4.648E-2</v>
      </c>
      <c r="E486" s="5">
        <v>2.9079700000000002E-3</v>
      </c>
      <c r="F486" s="5">
        <v>4.5273900000000001E-3</v>
      </c>
    </row>
    <row r="487" spans="1:6" x14ac:dyDescent="0.3">
      <c r="A487" s="15"/>
      <c r="B487" s="1" t="s">
        <v>11</v>
      </c>
      <c r="C487" s="1">
        <v>911.21</v>
      </c>
      <c r="D487" s="5">
        <v>9.8420512999999998E-3</v>
      </c>
      <c r="E487" s="5">
        <v>1.2644399999999999E-3</v>
      </c>
      <c r="F487" s="5">
        <v>1.8821300000000001E-3</v>
      </c>
    </row>
    <row r="488" spans="1:6" x14ac:dyDescent="0.3">
      <c r="A488" s="15"/>
      <c r="B488" s="1"/>
      <c r="C488" s="1">
        <v>968.97</v>
      </c>
      <c r="D488" s="5">
        <v>4.9681381299999999E-3</v>
      </c>
      <c r="E488" s="5">
        <v>1.0146300000000001E-3</v>
      </c>
      <c r="F488" s="5">
        <v>1.6864E-3</v>
      </c>
    </row>
    <row r="489" spans="1:6" x14ac:dyDescent="0.3">
      <c r="A489" s="15"/>
      <c r="B489" s="1"/>
      <c r="C489" s="1">
        <v>338.32</v>
      </c>
      <c r="D489" s="5">
        <v>8.3709786200000004E-3</v>
      </c>
      <c r="E489" s="5">
        <v>1.61236E-3</v>
      </c>
      <c r="F489" s="5">
        <v>3.08859E-3</v>
      </c>
    </row>
    <row r="490" spans="1:6" x14ac:dyDescent="0.3">
      <c r="A490" s="15"/>
      <c r="B490" s="1" t="s">
        <v>12</v>
      </c>
      <c r="C490" s="1">
        <v>2614.5300000000002</v>
      </c>
      <c r="D490" s="1"/>
      <c r="E490" s="1"/>
      <c r="F490" s="1"/>
    </row>
    <row r="491" spans="1:6" x14ac:dyDescent="0.3">
      <c r="A491" s="15"/>
      <c r="B491" s="1"/>
      <c r="C491" s="1">
        <v>583.19000000000005</v>
      </c>
      <c r="D491" s="4">
        <v>1.584E-2</v>
      </c>
      <c r="E491" s="5">
        <v>1.5944399999999999E-3</v>
      </c>
      <c r="F491" s="5">
        <v>2.2499899999999999E-3</v>
      </c>
    </row>
    <row r="492" spans="1:6" x14ac:dyDescent="0.3">
      <c r="A492" s="15"/>
      <c r="B492" s="1"/>
      <c r="C492" s="1">
        <v>510.77</v>
      </c>
      <c r="D492" s="4">
        <v>2.6960000000000001E-2</v>
      </c>
      <c r="E492" s="5">
        <v>1.99724E-3</v>
      </c>
      <c r="F492" s="5">
        <v>2.6902100000000002E-3</v>
      </c>
    </row>
    <row r="493" spans="1:6" x14ac:dyDescent="0.3">
      <c r="A493" s="15"/>
      <c r="B493" s="1"/>
      <c r="C493" s="1">
        <v>860.56</v>
      </c>
      <c r="D493" s="1"/>
      <c r="E493" s="1"/>
      <c r="F493" s="1"/>
    </row>
    <row r="494" spans="1:6" x14ac:dyDescent="0.3">
      <c r="A494" s="15">
        <v>43</v>
      </c>
      <c r="B494" s="1" t="s">
        <v>7</v>
      </c>
      <c r="C494" s="1">
        <v>351.93</v>
      </c>
      <c r="D494" s="4">
        <v>5.1819999999999998E-2</v>
      </c>
      <c r="E494" s="5">
        <v>2.7502E-3</v>
      </c>
      <c r="F494" s="5">
        <v>3.57012E-3</v>
      </c>
    </row>
    <row r="495" spans="1:6" x14ac:dyDescent="0.3">
      <c r="A495" s="15"/>
      <c r="B495" s="1"/>
      <c r="C495" s="1">
        <v>295.22000000000003</v>
      </c>
      <c r="D495" s="4">
        <v>3.2439999999999997E-2</v>
      </c>
      <c r="E495" s="5">
        <v>2.8636400000000002E-3</v>
      </c>
      <c r="F495" s="5">
        <v>5.2199400000000002E-3</v>
      </c>
    </row>
    <row r="496" spans="1:6" x14ac:dyDescent="0.3">
      <c r="A496" s="15"/>
      <c r="B496" s="1" t="s">
        <v>8</v>
      </c>
      <c r="C496" s="1">
        <v>609.32000000000005</v>
      </c>
      <c r="D496" s="4">
        <v>3.6229999999999998E-2</v>
      </c>
      <c r="E496" s="5">
        <v>2.18198E-3</v>
      </c>
      <c r="F496" s="5">
        <v>2.4992500000000002E-3</v>
      </c>
    </row>
    <row r="497" spans="1:6" x14ac:dyDescent="0.3">
      <c r="A497" s="15"/>
      <c r="B497" s="1"/>
      <c r="C497" s="1">
        <v>1764.49</v>
      </c>
      <c r="D497" s="1"/>
      <c r="E497" s="1"/>
      <c r="F497" s="1"/>
    </row>
    <row r="498" spans="1:6" x14ac:dyDescent="0.3">
      <c r="A498" s="15"/>
      <c r="B498" s="1"/>
      <c r="C498" s="1">
        <v>1120.29</v>
      </c>
      <c r="D498" s="5">
        <v>3.5154031400000002E-3</v>
      </c>
      <c r="E498" s="5">
        <v>9.852699999999999E-4</v>
      </c>
      <c r="F498" s="6">
        <v>1.8266000000000001E-3</v>
      </c>
    </row>
    <row r="499" spans="1:6" x14ac:dyDescent="0.3">
      <c r="A499" s="15"/>
      <c r="B499" s="1" t="s">
        <v>9</v>
      </c>
      <c r="C499" s="1">
        <v>1460.82</v>
      </c>
      <c r="D499" s="4">
        <v>0</v>
      </c>
      <c r="E499" s="5">
        <v>0</v>
      </c>
      <c r="F499" s="5">
        <v>0</v>
      </c>
    </row>
    <row r="500" spans="1:6" x14ac:dyDescent="0.3">
      <c r="A500" s="15"/>
      <c r="B500" s="1" t="s">
        <v>10</v>
      </c>
      <c r="C500" s="1">
        <v>238.63</v>
      </c>
      <c r="D500" s="4">
        <v>0.11123</v>
      </c>
      <c r="E500" s="5">
        <v>4.0858999999999999E-3</v>
      </c>
      <c r="F500" s="5">
        <v>5.4768000000000004E-3</v>
      </c>
    </row>
    <row r="501" spans="1:6" x14ac:dyDescent="0.3">
      <c r="A501" s="15"/>
      <c r="B501" s="1" t="s">
        <v>11</v>
      </c>
      <c r="C501" s="1">
        <v>911.21</v>
      </c>
      <c r="D501" s="4">
        <v>2.4039999999999999E-2</v>
      </c>
      <c r="E501" s="5">
        <v>1.74585E-3</v>
      </c>
      <c r="F501" s="5">
        <v>1.9074300000000001E-3</v>
      </c>
    </row>
    <row r="502" spans="1:6" x14ac:dyDescent="0.3">
      <c r="A502" s="15"/>
      <c r="B502" s="1"/>
      <c r="C502" s="1">
        <v>968.97</v>
      </c>
      <c r="D502" s="4">
        <v>1.354E-2</v>
      </c>
      <c r="E502" s="5">
        <v>1.5453800000000001E-3</v>
      </c>
      <c r="F502" s="5">
        <v>2.4248500000000001E-3</v>
      </c>
    </row>
    <row r="503" spans="1:6" x14ac:dyDescent="0.3">
      <c r="A503" s="15"/>
      <c r="B503" s="1"/>
      <c r="C503" s="1">
        <v>338.32</v>
      </c>
      <c r="D503" s="4">
        <v>2.2110000000000001E-2</v>
      </c>
      <c r="E503" s="5">
        <v>2.1474799999999998E-3</v>
      </c>
      <c r="F503" s="5">
        <v>3.6298099999999998E-3</v>
      </c>
    </row>
    <row r="504" spans="1:6" x14ac:dyDescent="0.3">
      <c r="A504" s="15"/>
      <c r="B504" s="1" t="s">
        <v>12</v>
      </c>
      <c r="C504" s="1">
        <v>2614.5300000000002</v>
      </c>
      <c r="D504" s="1"/>
      <c r="E504" s="1"/>
      <c r="F504" s="1"/>
    </row>
    <row r="505" spans="1:6" x14ac:dyDescent="0.3">
      <c r="A505" s="15"/>
      <c r="B505" s="1"/>
      <c r="C505" s="1">
        <v>583.19000000000005</v>
      </c>
      <c r="D505" s="4">
        <v>3.5700000000000003E-2</v>
      </c>
      <c r="E505" s="5">
        <v>2.2592900000000002E-3</v>
      </c>
      <c r="F505" s="5">
        <v>2.9073599999999999E-3</v>
      </c>
    </row>
    <row r="506" spans="1:6" x14ac:dyDescent="0.3">
      <c r="A506" s="15"/>
      <c r="B506" s="1"/>
      <c r="C506" s="1">
        <v>510.77</v>
      </c>
      <c r="D506" s="1"/>
      <c r="E506" s="1"/>
      <c r="F506" s="1"/>
    </row>
    <row r="507" spans="1:6" x14ac:dyDescent="0.3">
      <c r="A507" s="15"/>
      <c r="B507" s="1"/>
      <c r="C507" s="1">
        <v>860.56</v>
      </c>
      <c r="D507" s="5">
        <v>1.7510442399999999E-3</v>
      </c>
      <c r="E507" s="5">
        <v>9.7223000000000003E-4</v>
      </c>
      <c r="F507" s="5">
        <v>2.0059100000000001E-3</v>
      </c>
    </row>
    <row r="508" spans="1:6" x14ac:dyDescent="0.3">
      <c r="A508" s="15">
        <v>44</v>
      </c>
      <c r="B508" s="1" t="s">
        <v>7</v>
      </c>
      <c r="C508" s="1">
        <v>351.93</v>
      </c>
      <c r="D508" s="4">
        <v>6.6589999999999996E-2</v>
      </c>
      <c r="E508" s="5">
        <v>3.16761E-3</v>
      </c>
      <c r="F508" s="6">
        <v>4.09538E-3</v>
      </c>
    </row>
    <row r="509" spans="1:6" x14ac:dyDescent="0.3">
      <c r="A509" s="15"/>
      <c r="B509" s="1"/>
      <c r="C509" s="1">
        <v>295.22000000000003</v>
      </c>
      <c r="D509" s="4">
        <v>3.9550000000000002E-2</v>
      </c>
      <c r="E509" s="5">
        <v>3.0930100000000002E-3</v>
      </c>
      <c r="F509" s="5">
        <v>5.5119100000000001E-3</v>
      </c>
    </row>
    <row r="510" spans="1:6" x14ac:dyDescent="0.3">
      <c r="A510" s="15"/>
      <c r="B510" s="1" t="s">
        <v>8</v>
      </c>
      <c r="C510" s="1">
        <v>609.32000000000005</v>
      </c>
      <c r="D510" s="4">
        <v>4.7449999999999999E-2</v>
      </c>
      <c r="E510" s="5">
        <v>2.49921E-3</v>
      </c>
      <c r="F510" s="5">
        <v>2.7706599999999999E-3</v>
      </c>
    </row>
    <row r="511" spans="1:6" x14ac:dyDescent="0.3">
      <c r="A511" s="15"/>
      <c r="B511" s="1"/>
      <c r="C511" s="1">
        <v>1764.49</v>
      </c>
      <c r="D511" s="1"/>
      <c r="E511" s="1"/>
      <c r="F511" s="1"/>
    </row>
    <row r="512" spans="1:6" x14ac:dyDescent="0.3">
      <c r="A512" s="15"/>
      <c r="B512" s="1"/>
      <c r="C512" s="1">
        <v>1120.29</v>
      </c>
      <c r="D512" s="1"/>
      <c r="E512" s="1"/>
      <c r="F512" s="1"/>
    </row>
    <row r="513" spans="1:6" x14ac:dyDescent="0.3">
      <c r="A513" s="15"/>
      <c r="B513" s="1" t="s">
        <v>9</v>
      </c>
      <c r="C513" s="1">
        <v>1460.82</v>
      </c>
      <c r="D513" s="4">
        <v>0</v>
      </c>
      <c r="E513" s="5">
        <v>0</v>
      </c>
      <c r="F513" s="1">
        <v>0</v>
      </c>
    </row>
    <row r="514" spans="1:6" x14ac:dyDescent="0.3">
      <c r="A514" s="15"/>
      <c r="B514" s="1" t="s">
        <v>10</v>
      </c>
      <c r="C514" s="1">
        <v>238.63</v>
      </c>
      <c r="D514" s="4">
        <v>0.15770000000000001</v>
      </c>
      <c r="E514" s="5">
        <v>4.9023199999999999E-3</v>
      </c>
      <c r="F514" s="5">
        <v>6.4613200000000004E-3</v>
      </c>
    </row>
    <row r="515" spans="1:6" x14ac:dyDescent="0.3">
      <c r="A515" s="15"/>
      <c r="B515" s="1" t="s">
        <v>11</v>
      </c>
      <c r="C515" s="1">
        <v>911.21</v>
      </c>
      <c r="D515" s="4">
        <v>3.3009999999999998E-2</v>
      </c>
      <c r="E515" s="5">
        <v>2.0707400000000002E-3</v>
      </c>
      <c r="F515" s="5">
        <v>2.3351299999999999E-3</v>
      </c>
    </row>
    <row r="516" spans="1:6" x14ac:dyDescent="0.3">
      <c r="A516" s="15"/>
      <c r="B516" s="1"/>
      <c r="C516" s="1">
        <v>968.97</v>
      </c>
      <c r="D516" s="1"/>
      <c r="E516" s="1"/>
      <c r="F516" s="1"/>
    </row>
    <row r="517" spans="1:6" x14ac:dyDescent="0.3">
      <c r="A517" s="15"/>
      <c r="B517" s="1"/>
      <c r="C517" s="1">
        <v>338.32</v>
      </c>
      <c r="D517" s="4">
        <v>3.4599999999999999E-2</v>
      </c>
      <c r="E517" s="5">
        <v>2.58931E-3</v>
      </c>
      <c r="F517" s="5">
        <v>4.1850000000000004E-3</v>
      </c>
    </row>
    <row r="518" spans="1:6" x14ac:dyDescent="0.3">
      <c r="A518" s="15"/>
      <c r="B518" s="1" t="s">
        <v>12</v>
      </c>
      <c r="C518" s="1">
        <v>2614.5300000000002</v>
      </c>
      <c r="D518" s="1"/>
      <c r="E518" s="1"/>
      <c r="F518" s="1"/>
    </row>
    <row r="519" spans="1:6" x14ac:dyDescent="0.3">
      <c r="A519" s="15"/>
      <c r="B519" s="1"/>
      <c r="C519" s="1">
        <v>583.19000000000005</v>
      </c>
      <c r="D519" s="4">
        <v>5.1839999999999997E-2</v>
      </c>
      <c r="E519" s="5">
        <v>2.6251899999999999E-3</v>
      </c>
      <c r="F519" s="5">
        <v>2.9208300000000001E-3</v>
      </c>
    </row>
    <row r="520" spans="1:6" x14ac:dyDescent="0.3">
      <c r="A520" s="15"/>
      <c r="B520" s="1"/>
      <c r="C520" s="1">
        <v>510.77</v>
      </c>
      <c r="D520" s="4">
        <v>3.5139999999999998E-2</v>
      </c>
      <c r="E520" s="5">
        <v>2.3281E-3</v>
      </c>
      <c r="F520" s="5">
        <v>3.2510500000000001E-3</v>
      </c>
    </row>
    <row r="521" spans="1:6" x14ac:dyDescent="0.3">
      <c r="A521" s="15"/>
      <c r="B521" s="1"/>
      <c r="C521" s="1">
        <v>860.56</v>
      </c>
      <c r="D521" s="1"/>
      <c r="E521" s="1"/>
      <c r="F521" s="1"/>
    </row>
    <row r="522" spans="1:6" x14ac:dyDescent="0.3">
      <c r="A522" s="15">
        <v>45</v>
      </c>
      <c r="B522" s="1" t="s">
        <v>7</v>
      </c>
      <c r="C522" s="1">
        <v>351.93</v>
      </c>
      <c r="D522" s="4">
        <v>0.33435999999999999</v>
      </c>
      <c r="E522" s="5">
        <v>6.5824799999999999E-3</v>
      </c>
      <c r="F522" s="5">
        <v>7.3123499999999996E-3</v>
      </c>
    </row>
    <row r="523" spans="1:6" x14ac:dyDescent="0.3">
      <c r="A523" s="15"/>
      <c r="B523" s="1"/>
      <c r="C523" s="1">
        <v>295.22000000000003</v>
      </c>
      <c r="D523" s="4">
        <v>0.19383</v>
      </c>
      <c r="E523" s="5">
        <v>6.2817200000000002E-3</v>
      </c>
      <c r="F523" s="4">
        <v>1.042E-2</v>
      </c>
    </row>
    <row r="524" spans="1:6" x14ac:dyDescent="0.3">
      <c r="A524" s="15"/>
      <c r="B524" s="1" t="s">
        <v>8</v>
      </c>
      <c r="C524" s="1">
        <v>609.32000000000005</v>
      </c>
      <c r="D524" s="4">
        <v>0.22724</v>
      </c>
      <c r="E524" s="5">
        <v>5.2324499999999996E-3</v>
      </c>
      <c r="F524" s="5">
        <v>5.0467799999999998E-3</v>
      </c>
    </row>
    <row r="525" spans="1:6" x14ac:dyDescent="0.3">
      <c r="A525" s="15"/>
      <c r="B525" s="1"/>
      <c r="C525" s="1">
        <v>1764.49</v>
      </c>
      <c r="D525" s="4">
        <v>3.347E-2</v>
      </c>
      <c r="E525" s="5">
        <v>2.0075900000000001E-3</v>
      </c>
      <c r="F525" s="5">
        <v>1.9671300000000001E-3</v>
      </c>
    </row>
    <row r="526" spans="1:6" x14ac:dyDescent="0.3">
      <c r="A526" s="15"/>
      <c r="B526" s="1"/>
      <c r="C526" s="1">
        <v>1120.29</v>
      </c>
      <c r="D526" s="4">
        <v>4.5760000000000002E-2</v>
      </c>
      <c r="E526" s="5">
        <v>2.4710600000000002E-3</v>
      </c>
      <c r="F526" s="5">
        <v>2.9299E-3</v>
      </c>
    </row>
    <row r="527" spans="1:6" x14ac:dyDescent="0.3">
      <c r="A527" s="15"/>
      <c r="B527" s="1" t="s">
        <v>9</v>
      </c>
      <c r="C527" s="1">
        <v>1460.82</v>
      </c>
      <c r="D527" s="4">
        <v>0</v>
      </c>
      <c r="E527" s="5">
        <v>0</v>
      </c>
      <c r="F527" s="5">
        <v>0</v>
      </c>
    </row>
    <row r="528" spans="1:6" x14ac:dyDescent="0.3">
      <c r="A528" s="15"/>
      <c r="B528" s="1" t="s">
        <v>10</v>
      </c>
      <c r="C528" s="1">
        <v>238.63</v>
      </c>
      <c r="D528" s="4">
        <v>0.77615999999999996</v>
      </c>
      <c r="E528" s="4">
        <v>1.051E-2</v>
      </c>
      <c r="F528" s="4">
        <v>1.273E-2</v>
      </c>
    </row>
    <row r="529" spans="1:6" x14ac:dyDescent="0.3">
      <c r="A529" s="15"/>
      <c r="B529" s="1" t="s">
        <v>11</v>
      </c>
      <c r="C529" s="1">
        <v>911.21</v>
      </c>
      <c r="D529" s="4">
        <v>0.16431000000000001</v>
      </c>
      <c r="E529" s="5">
        <v>4.39916E-3</v>
      </c>
      <c r="F529" s="5">
        <v>4.01594E-3</v>
      </c>
    </row>
    <row r="530" spans="1:6" x14ac:dyDescent="0.3">
      <c r="A530" s="15"/>
      <c r="B530" s="1"/>
      <c r="C530" s="1">
        <v>968.97</v>
      </c>
      <c r="D530" s="4">
        <v>9.7619999999999998E-2</v>
      </c>
      <c r="E530" s="5">
        <v>3.6170899999999999E-3</v>
      </c>
      <c r="F530" s="5">
        <v>4.2074800000000004E-3</v>
      </c>
    </row>
    <row r="531" spans="1:6" x14ac:dyDescent="0.3">
      <c r="A531" s="15"/>
      <c r="B531" s="1"/>
      <c r="C531" s="1">
        <v>338.32</v>
      </c>
      <c r="D531" s="4">
        <v>0.16919999999999999</v>
      </c>
      <c r="E531" s="5">
        <v>5.2405799999999999E-3</v>
      </c>
      <c r="F531" s="5">
        <v>7.5958099999999997E-3</v>
      </c>
    </row>
    <row r="532" spans="1:6" x14ac:dyDescent="0.3">
      <c r="A532" s="15"/>
      <c r="B532" s="1" t="s">
        <v>12</v>
      </c>
      <c r="C532" s="1">
        <v>2614.5300000000002</v>
      </c>
      <c r="D532" s="4">
        <v>8.6019999999999999E-2</v>
      </c>
      <c r="E532" s="5">
        <v>2.99877E-3</v>
      </c>
      <c r="F532" s="5">
        <v>1.47153E-3</v>
      </c>
    </row>
    <row r="533" spans="1:6" x14ac:dyDescent="0.3">
      <c r="A533" s="15"/>
      <c r="B533" s="1"/>
      <c r="C533" s="1">
        <v>583.19000000000005</v>
      </c>
      <c r="D533" s="4">
        <v>0.25302999999999998</v>
      </c>
      <c r="E533" s="5">
        <v>5.6264399999999999E-3</v>
      </c>
      <c r="F533" s="5">
        <v>5.8415799999999999E-3</v>
      </c>
    </row>
    <row r="534" spans="1:6" x14ac:dyDescent="0.3">
      <c r="A534" s="15"/>
      <c r="B534" s="1"/>
      <c r="C534" s="1">
        <v>510.77</v>
      </c>
      <c r="D534" s="4">
        <v>9.5280000000000004E-2</v>
      </c>
      <c r="E534" s="5">
        <v>4.0392199999999996E-3</v>
      </c>
      <c r="F534" s="6">
        <v>5.9749699999999996E-3</v>
      </c>
    </row>
    <row r="535" spans="1:6" x14ac:dyDescent="0.3">
      <c r="A535" s="15"/>
      <c r="B535" s="1"/>
      <c r="C535" s="1">
        <v>860.56</v>
      </c>
      <c r="D535" s="4">
        <v>2.7609999999999999E-2</v>
      </c>
      <c r="E535" s="5">
        <v>2.3198899999999998E-3</v>
      </c>
      <c r="F535" s="5">
        <v>3.7459799999999999E-3</v>
      </c>
    </row>
    <row r="536" spans="1:6" x14ac:dyDescent="0.3">
      <c r="A536" s="15">
        <v>46</v>
      </c>
      <c r="B536" s="1" t="s">
        <v>7</v>
      </c>
      <c r="C536" s="1">
        <v>351.93</v>
      </c>
      <c r="D536" s="4">
        <v>0.13285</v>
      </c>
      <c r="E536" s="5">
        <v>4.2218200000000003E-3</v>
      </c>
      <c r="F536" s="5">
        <v>4.9751600000000002E-3</v>
      </c>
    </row>
    <row r="537" spans="1:6" x14ac:dyDescent="0.3">
      <c r="A537" s="15"/>
      <c r="B537" s="1"/>
      <c r="C537" s="1">
        <v>295.22000000000003</v>
      </c>
      <c r="D537" s="4">
        <v>7.9560000000000006E-2</v>
      </c>
      <c r="E537" s="5">
        <v>3.9888900000000001E-3</v>
      </c>
      <c r="F537" s="5">
        <v>6.5231000000000004E-3</v>
      </c>
    </row>
    <row r="538" spans="1:6" x14ac:dyDescent="0.3">
      <c r="A538" s="15"/>
      <c r="B538" s="1" t="s">
        <v>8</v>
      </c>
      <c r="C538" s="1">
        <v>609.32000000000005</v>
      </c>
      <c r="D538" s="4">
        <v>9.6119999999999997E-2</v>
      </c>
      <c r="E538" s="5">
        <v>3.4855900000000002E-3</v>
      </c>
      <c r="F538" s="6">
        <v>3.74414E-3</v>
      </c>
    </row>
    <row r="539" spans="1:6" x14ac:dyDescent="0.3">
      <c r="A539" s="15"/>
      <c r="B539" s="1"/>
      <c r="C539" s="1">
        <v>1764.49</v>
      </c>
      <c r="D539" s="1"/>
      <c r="E539" s="1"/>
      <c r="F539" s="1"/>
    </row>
    <row r="540" spans="1:6" x14ac:dyDescent="0.3">
      <c r="A540" s="15"/>
      <c r="B540" s="1"/>
      <c r="C540" s="1">
        <v>1120.29</v>
      </c>
      <c r="D540" s="4">
        <v>1.8280000000000001E-2</v>
      </c>
      <c r="E540" s="5">
        <v>1.70783E-3</v>
      </c>
      <c r="F540" s="5">
        <v>2.4726700000000002E-3</v>
      </c>
    </row>
    <row r="541" spans="1:6" x14ac:dyDescent="0.3">
      <c r="A541" s="15"/>
      <c r="B541" s="1" t="s">
        <v>9</v>
      </c>
      <c r="C541" s="1">
        <v>1460.82</v>
      </c>
      <c r="D541" s="4">
        <v>2.699E-2</v>
      </c>
      <c r="E541" s="5">
        <v>1.8401100000000001E-3</v>
      </c>
      <c r="F541" s="5">
        <v>1.9813299999999999E-3</v>
      </c>
    </row>
    <row r="542" spans="1:6" x14ac:dyDescent="0.3">
      <c r="A542" s="15"/>
      <c r="B542" s="1" t="s">
        <v>10</v>
      </c>
      <c r="C542" s="1">
        <v>238.63</v>
      </c>
      <c r="D542" s="4">
        <v>0.24507999999999999</v>
      </c>
      <c r="E542" s="5">
        <v>6.10825E-3</v>
      </c>
      <c r="F542" s="5">
        <v>8.2442499999999998E-3</v>
      </c>
    </row>
    <row r="543" spans="1:6" x14ac:dyDescent="0.3">
      <c r="A543" s="15"/>
      <c r="B543" s="1" t="s">
        <v>11</v>
      </c>
      <c r="C543" s="1">
        <v>911.21</v>
      </c>
      <c r="D543" s="4">
        <v>5.595E-2</v>
      </c>
      <c r="E543" s="5">
        <v>2.6243400000000002E-3</v>
      </c>
      <c r="F543" s="5">
        <v>2.6755500000000001E-3</v>
      </c>
    </row>
    <row r="544" spans="1:6" x14ac:dyDescent="0.3">
      <c r="A544" s="15"/>
      <c r="B544" s="1"/>
      <c r="C544" s="1">
        <v>968.97</v>
      </c>
      <c r="D544" s="4">
        <v>2.3630000000000002E-2</v>
      </c>
      <c r="E544" s="5">
        <v>2.1324299999999998E-3</v>
      </c>
      <c r="F544" s="5">
        <v>3.3991999999999998E-3</v>
      </c>
    </row>
    <row r="545" spans="1:6" x14ac:dyDescent="0.3">
      <c r="A545" s="15"/>
      <c r="B545" s="1"/>
      <c r="C545" s="1">
        <v>338.32</v>
      </c>
      <c r="D545" s="4">
        <v>6.1100000000000002E-2</v>
      </c>
      <c r="E545" s="5">
        <v>3.4037500000000001E-3</v>
      </c>
      <c r="F545" s="5">
        <v>5.4978099999999997E-3</v>
      </c>
    </row>
    <row r="546" spans="1:6" x14ac:dyDescent="0.3">
      <c r="A546" s="15"/>
      <c r="B546" s="1" t="s">
        <v>12</v>
      </c>
      <c r="C546" s="1">
        <v>2614.5300000000002</v>
      </c>
      <c r="D546" s="4">
        <v>2.8899999999999999E-2</v>
      </c>
      <c r="E546" s="5">
        <v>1.7664899999999999E-3</v>
      </c>
      <c r="F546" s="5">
        <v>1.1525999999999999E-3</v>
      </c>
    </row>
    <row r="547" spans="1:6" x14ac:dyDescent="0.3">
      <c r="A547" s="15"/>
      <c r="B547" s="1"/>
      <c r="C547" s="1">
        <v>583.19000000000005</v>
      </c>
      <c r="D547" s="4">
        <v>8.2960000000000006E-2</v>
      </c>
      <c r="E547" s="5">
        <v>3.2410899999999999E-3</v>
      </c>
      <c r="F547" s="5">
        <v>3.4893599999999999E-3</v>
      </c>
    </row>
    <row r="548" spans="1:6" x14ac:dyDescent="0.3">
      <c r="A548" s="15"/>
      <c r="B548" s="1"/>
      <c r="C548" s="1">
        <v>510.77</v>
      </c>
      <c r="D548" s="4">
        <v>4.5719999999999997E-2</v>
      </c>
      <c r="E548" s="5">
        <v>2.8205299999999999E-3</v>
      </c>
      <c r="F548" s="5">
        <v>4.2696499999999998E-3</v>
      </c>
    </row>
    <row r="549" spans="1:6" x14ac:dyDescent="0.3">
      <c r="A549" s="15"/>
      <c r="B549" s="1"/>
      <c r="C549" s="1">
        <v>860.56</v>
      </c>
      <c r="D549" s="1"/>
      <c r="E549" s="1"/>
      <c r="F54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9D79-193D-48EA-912E-425DB1127186}">
  <dimension ref="A3:M549"/>
  <sheetViews>
    <sheetView zoomScale="95" workbookViewId="0">
      <selection activeCell="E20" sqref="E20"/>
    </sheetView>
  </sheetViews>
  <sheetFormatPr defaultRowHeight="14.4" x14ac:dyDescent="0.3"/>
  <cols>
    <col min="1" max="1" width="9" bestFit="1" customWidth="1"/>
    <col min="3" max="3" width="9" bestFit="1" customWidth="1"/>
    <col min="4" max="4" width="14.33203125" customWidth="1"/>
    <col min="5" max="5" width="13.44140625" customWidth="1"/>
    <col min="6" max="6" width="14.6640625" customWidth="1"/>
    <col min="10" max="10" width="9" bestFit="1" customWidth="1"/>
    <col min="11" max="11" width="12.44140625" customWidth="1"/>
    <col min="12" max="12" width="11.6640625" customWidth="1"/>
    <col min="13" max="13" width="11.88671875" customWidth="1"/>
  </cols>
  <sheetData>
    <row r="3" spans="1:6" x14ac:dyDescent="0.3">
      <c r="A3" s="13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6" x14ac:dyDescent="0.3">
      <c r="A4" s="14">
        <v>1</v>
      </c>
      <c r="B4" s="9" t="s">
        <v>7</v>
      </c>
      <c r="C4" s="9">
        <v>351.93</v>
      </c>
      <c r="D4" s="9">
        <v>0.19961000000000001</v>
      </c>
      <c r="E4" s="10">
        <v>5.13672E-3</v>
      </c>
      <c r="F4" s="10">
        <v>5.9222500000000004E-3</v>
      </c>
    </row>
    <row r="5" spans="1:6" x14ac:dyDescent="0.3">
      <c r="A5" s="14"/>
      <c r="B5" s="9"/>
      <c r="C5" s="9">
        <v>295.22000000000003</v>
      </c>
      <c r="D5" s="11">
        <v>0.11296</v>
      </c>
      <c r="E5" s="10">
        <v>4.8283500000000003E-3</v>
      </c>
      <c r="F5" s="10">
        <v>8.1173700000000005E-3</v>
      </c>
    </row>
    <row r="6" spans="1:6" x14ac:dyDescent="0.3">
      <c r="A6" s="14"/>
      <c r="B6" s="9" t="s">
        <v>8</v>
      </c>
      <c r="C6" s="9">
        <v>609.32000000000005</v>
      </c>
      <c r="D6" s="11">
        <v>0.14685000000000001</v>
      </c>
      <c r="E6" s="10">
        <v>4.2109199999999999E-3</v>
      </c>
      <c r="F6" s="10">
        <v>4.0903399999999996E-3</v>
      </c>
    </row>
    <row r="7" spans="1:6" x14ac:dyDescent="0.3">
      <c r="A7" s="14"/>
      <c r="B7" s="9"/>
      <c r="C7" s="9">
        <v>1764.49</v>
      </c>
      <c r="D7" s="11">
        <v>2.392E-2</v>
      </c>
      <c r="E7" s="10">
        <v>1.67698E-3</v>
      </c>
      <c r="F7" s="10">
        <v>1.5405200000000001E-3</v>
      </c>
    </row>
    <row r="8" spans="1:6" x14ac:dyDescent="0.3">
      <c r="A8" s="14"/>
      <c r="B8" s="9"/>
      <c r="C8" s="9">
        <v>1120.29</v>
      </c>
      <c r="D8" s="11">
        <v>2.972E-2</v>
      </c>
      <c r="E8" s="10">
        <v>2.04507E-3</v>
      </c>
      <c r="F8" s="10">
        <v>2.5804299999999999E-3</v>
      </c>
    </row>
    <row r="9" spans="1:6" x14ac:dyDescent="0.3">
      <c r="A9" s="14"/>
      <c r="B9" s="9" t="s">
        <v>9</v>
      </c>
      <c r="C9" s="9">
        <v>1460.82</v>
      </c>
      <c r="D9" s="11">
        <v>1.426E-2</v>
      </c>
      <c r="E9" s="10">
        <v>1.48536E-3</v>
      </c>
      <c r="F9" s="10">
        <v>2.0255899999999999E-3</v>
      </c>
    </row>
    <row r="10" spans="1:6" x14ac:dyDescent="0.3">
      <c r="A10" s="14"/>
      <c r="B10" s="9" t="s">
        <v>10</v>
      </c>
      <c r="C10" s="9">
        <v>238.63</v>
      </c>
      <c r="D10" s="9">
        <v>0.33118999999999998</v>
      </c>
      <c r="E10" s="10">
        <v>7.2720299999999996E-3</v>
      </c>
      <c r="F10" s="10">
        <v>9.9605900000000001E-3</v>
      </c>
    </row>
    <row r="11" spans="1:6" x14ac:dyDescent="0.3">
      <c r="A11" s="14"/>
      <c r="B11" s="9" t="s">
        <v>11</v>
      </c>
      <c r="C11" s="9">
        <v>911.21</v>
      </c>
      <c r="D11" s="11">
        <v>7.1859999999999993E-2</v>
      </c>
      <c r="E11" s="10">
        <v>2.97715E-3</v>
      </c>
      <c r="F11" s="10">
        <v>3.04309E-3</v>
      </c>
    </row>
    <row r="12" spans="1:6" x14ac:dyDescent="0.3">
      <c r="A12" s="14"/>
      <c r="B12" s="9"/>
      <c r="C12" s="9">
        <v>968.97</v>
      </c>
      <c r="D12" s="11">
        <v>4.5179999999999998E-2</v>
      </c>
      <c r="E12" s="10">
        <v>2.5311600000000002E-3</v>
      </c>
      <c r="F12" s="10">
        <v>3.2478699999999999E-3</v>
      </c>
    </row>
    <row r="13" spans="1:6" x14ac:dyDescent="0.3">
      <c r="A13" s="14"/>
      <c r="B13" s="9"/>
      <c r="C13" s="9">
        <v>338.32</v>
      </c>
      <c r="D13" s="11">
        <v>7.0940000000000003E-2</v>
      </c>
      <c r="E13" s="10">
        <v>3.6621100000000001E-3</v>
      </c>
      <c r="F13" s="10">
        <v>5.7838799999999999E-3</v>
      </c>
    </row>
    <row r="14" spans="1:6" x14ac:dyDescent="0.3">
      <c r="A14" s="14"/>
      <c r="B14" s="9" t="s">
        <v>12</v>
      </c>
      <c r="C14" s="9">
        <v>2614.5300000000002</v>
      </c>
      <c r="D14" s="11">
        <v>4.6179999999999999E-2</v>
      </c>
      <c r="E14" s="10">
        <v>2.19498E-3</v>
      </c>
      <c r="F14" s="10">
        <v>1.0949499999999999E-3</v>
      </c>
    </row>
    <row r="15" spans="1:6" x14ac:dyDescent="0.3">
      <c r="A15" s="14"/>
      <c r="B15" s="9"/>
      <c r="C15" s="9">
        <v>583.19000000000005</v>
      </c>
      <c r="D15" s="11">
        <v>0.12161</v>
      </c>
      <c r="E15" s="10">
        <v>3.9250099999999996E-3</v>
      </c>
      <c r="F15" s="10">
        <v>4.2074800000000004E-3</v>
      </c>
    </row>
    <row r="16" spans="1:6" x14ac:dyDescent="0.3">
      <c r="A16" s="14"/>
      <c r="B16" s="9"/>
      <c r="C16" s="9">
        <v>510.77</v>
      </c>
      <c r="D16" s="11">
        <v>6.1429999999999998E-2</v>
      </c>
      <c r="E16" s="10">
        <v>3.2431000000000001E-3</v>
      </c>
      <c r="F16" s="10">
        <v>4.9129600000000001E-3</v>
      </c>
    </row>
    <row r="17" spans="1:6" x14ac:dyDescent="0.3">
      <c r="A17" s="14"/>
      <c r="B17" s="9"/>
      <c r="C17" s="9">
        <v>860.56</v>
      </c>
      <c r="D17" s="11">
        <v>1.226E-2</v>
      </c>
      <c r="E17" s="10">
        <v>1.6112399999999999E-3</v>
      </c>
      <c r="F17" s="10">
        <v>2.7631399999999999E-3</v>
      </c>
    </row>
    <row r="18" spans="1:6" x14ac:dyDescent="0.3">
      <c r="A18" s="15">
        <v>2</v>
      </c>
      <c r="B18" s="1" t="s">
        <v>7</v>
      </c>
      <c r="C18" s="1">
        <v>351.93</v>
      </c>
      <c r="D18" s="3">
        <v>5.82836</v>
      </c>
      <c r="E18" s="3">
        <v>2.9479999999999999E-2</v>
      </c>
      <c r="F18" s="3">
        <v>3.8589999999999999E-2</v>
      </c>
    </row>
    <row r="19" spans="1:6" x14ac:dyDescent="0.3">
      <c r="A19" s="15"/>
      <c r="B19" s="1"/>
      <c r="C19" s="1">
        <v>295.22000000000003</v>
      </c>
      <c r="D19" s="3">
        <v>3.4231600000000002</v>
      </c>
      <c r="E19" s="3">
        <v>3.2930000000000001E-2</v>
      </c>
      <c r="F19" s="3">
        <v>6.2480000000000001E-2</v>
      </c>
    </row>
    <row r="20" spans="1:6" x14ac:dyDescent="0.3">
      <c r="A20" s="15"/>
      <c r="B20" s="1" t="s">
        <v>8</v>
      </c>
      <c r="C20" s="1">
        <v>609.32000000000005</v>
      </c>
      <c r="D20" s="3">
        <v>4.2398699999999998</v>
      </c>
      <c r="E20" s="3">
        <v>2.3E-2</v>
      </c>
      <c r="F20" s="3">
        <v>2.325E-2</v>
      </c>
    </row>
    <row r="21" spans="1:6" x14ac:dyDescent="0.3">
      <c r="A21" s="15"/>
      <c r="B21" s="1"/>
      <c r="C21" s="1">
        <v>1764.49</v>
      </c>
      <c r="D21" s="3">
        <v>0.66900999999999999</v>
      </c>
      <c r="E21" s="2">
        <v>9.1017000000000008E-3</v>
      </c>
      <c r="F21" s="2">
        <v>9.2561199999999996E-3</v>
      </c>
    </row>
    <row r="22" spans="1:6" x14ac:dyDescent="0.3">
      <c r="A22" s="15"/>
      <c r="B22" s="1"/>
      <c r="C22" s="1">
        <v>1120.29</v>
      </c>
      <c r="D22" s="3">
        <v>0.88829999999999998</v>
      </c>
      <c r="E22" s="3">
        <v>1.2120000000000001E-2</v>
      </c>
      <c r="F22" s="3">
        <v>1.7659999999999999E-2</v>
      </c>
    </row>
    <row r="23" spans="1:6" x14ac:dyDescent="0.3">
      <c r="A23" s="15"/>
      <c r="B23" s="1" t="s">
        <v>9</v>
      </c>
      <c r="C23" s="1">
        <v>1460.82</v>
      </c>
      <c r="D23" s="3">
        <v>9.2789999999999997E-2</v>
      </c>
      <c r="E23" s="2">
        <v>5.1962700000000002E-3</v>
      </c>
      <c r="F23" s="2">
        <v>9.7633900000000003E-3</v>
      </c>
    </row>
    <row r="24" spans="1:6" x14ac:dyDescent="0.3">
      <c r="A24" s="15"/>
      <c r="B24" s="1" t="s">
        <v>10</v>
      </c>
      <c r="C24" s="1">
        <v>238.63</v>
      </c>
      <c r="D24" s="3">
        <v>23.590409999999999</v>
      </c>
      <c r="E24" s="3">
        <v>5.5440000000000003E-2</v>
      </c>
      <c r="F24" s="3">
        <v>6.1809999999999997E-2</v>
      </c>
    </row>
    <row r="25" spans="1:6" x14ac:dyDescent="0.3">
      <c r="A25" s="15"/>
      <c r="B25" s="1" t="s">
        <v>11</v>
      </c>
      <c r="C25" s="1">
        <v>911.21</v>
      </c>
      <c r="D25" s="3">
        <v>4.5730300000000002</v>
      </c>
      <c r="E25" s="3">
        <v>2.316E-2</v>
      </c>
      <c r="F25" s="3">
        <v>2.0590000000000001E-2</v>
      </c>
    </row>
    <row r="26" spans="1:6" x14ac:dyDescent="0.3">
      <c r="A26" s="15"/>
      <c r="B26" s="1"/>
      <c r="C26" s="1">
        <v>968.97</v>
      </c>
      <c r="D26" s="3">
        <v>2.6357599999999999</v>
      </c>
      <c r="E26" s="3">
        <v>1.7989999999999999E-2</v>
      </c>
      <c r="F26" s="3">
        <v>1.7690000000000001E-2</v>
      </c>
    </row>
    <row r="27" spans="1:6" x14ac:dyDescent="0.3">
      <c r="A27" s="15"/>
      <c r="B27" s="1"/>
      <c r="C27" s="1">
        <v>338.32</v>
      </c>
      <c r="D27" s="3">
        <v>4.4253499999999999</v>
      </c>
      <c r="E27" s="3">
        <v>3.3169999999999998E-2</v>
      </c>
      <c r="F27" s="3">
        <v>5.9180000000000003E-2</v>
      </c>
    </row>
    <row r="28" spans="1:6" x14ac:dyDescent="0.3">
      <c r="A28" s="15"/>
      <c r="B28" s="1" t="s">
        <v>12</v>
      </c>
      <c r="C28" s="1">
        <v>2614.5300000000002</v>
      </c>
      <c r="D28" s="3">
        <v>2.34572</v>
      </c>
      <c r="E28" s="3">
        <v>1.5480000000000001E-2</v>
      </c>
      <c r="F28" s="2">
        <v>5.3340100000000001E-3</v>
      </c>
    </row>
    <row r="29" spans="1:6" x14ac:dyDescent="0.3">
      <c r="A29" s="15"/>
      <c r="B29" s="1"/>
      <c r="C29" s="1">
        <v>583.19000000000005</v>
      </c>
      <c r="D29" s="3">
        <v>6.8753500000000001</v>
      </c>
      <c r="E29" s="3">
        <v>2.8850000000000001E-2</v>
      </c>
      <c r="F29" s="3">
        <v>2.7400000000000001E-2</v>
      </c>
    </row>
    <row r="30" spans="1:6" x14ac:dyDescent="0.3">
      <c r="A30" s="15"/>
      <c r="B30" s="1"/>
      <c r="C30" s="1">
        <v>510.77</v>
      </c>
      <c r="D30" s="3">
        <v>2.1968999999999999</v>
      </c>
      <c r="E30" s="3">
        <v>1.9460000000000002E-2</v>
      </c>
      <c r="F30" s="3">
        <v>2.9190000000000001E-2</v>
      </c>
    </row>
    <row r="31" spans="1:6" x14ac:dyDescent="0.3">
      <c r="A31" s="15"/>
      <c r="B31" s="1"/>
      <c r="C31" s="1">
        <v>860.56</v>
      </c>
      <c r="D31" s="3">
        <v>0.79091999999999996</v>
      </c>
      <c r="E31" s="3">
        <v>1.172E-2</v>
      </c>
      <c r="F31" s="3">
        <v>1.7559999999999999E-2</v>
      </c>
    </row>
    <row r="32" spans="1:6" x14ac:dyDescent="0.3">
      <c r="A32" s="21">
        <v>3</v>
      </c>
      <c r="B32" s="1" t="s">
        <v>7</v>
      </c>
      <c r="C32" s="1">
        <v>351.93</v>
      </c>
      <c r="D32" s="3">
        <v>16.486910000000002</v>
      </c>
      <c r="E32" s="3">
        <v>4.5949999999999998E-2</v>
      </c>
      <c r="F32" s="3">
        <v>4.947E-2</v>
      </c>
    </row>
    <row r="33" spans="1:6" x14ac:dyDescent="0.3">
      <c r="A33" s="15"/>
      <c r="B33" s="1"/>
      <c r="C33" s="1">
        <v>295.22000000000003</v>
      </c>
      <c r="D33" s="18">
        <v>9.5885800000000003</v>
      </c>
      <c r="E33" s="3">
        <v>4.2520000000000002E-2</v>
      </c>
      <c r="F33" s="3">
        <v>6.7720000000000002E-2</v>
      </c>
    </row>
    <row r="34" spans="1:6" x14ac:dyDescent="0.3">
      <c r="A34" s="15"/>
      <c r="B34" s="1" t="s">
        <v>8</v>
      </c>
      <c r="C34" s="1">
        <v>609.32000000000005</v>
      </c>
      <c r="D34" s="18">
        <v>12.20491</v>
      </c>
      <c r="E34" s="3">
        <v>3.9539999999999999E-2</v>
      </c>
      <c r="F34" s="3">
        <v>4.2590000000000003E-2</v>
      </c>
    </row>
    <row r="35" spans="1:6" x14ac:dyDescent="0.3">
      <c r="A35" s="15"/>
      <c r="B35" s="1"/>
      <c r="C35" s="1">
        <v>1764.49</v>
      </c>
      <c r="D35" s="3">
        <v>1.9962500000000001</v>
      </c>
      <c r="E35" s="3">
        <v>1.515E-2</v>
      </c>
      <c r="F35" s="3">
        <v>1.257E-2</v>
      </c>
    </row>
    <row r="36" spans="1:6" x14ac:dyDescent="0.3">
      <c r="A36" s="15"/>
      <c r="B36" s="1"/>
      <c r="C36" s="1">
        <v>1120.29</v>
      </c>
      <c r="D36" s="18">
        <v>2.5588099999999998</v>
      </c>
      <c r="E36" s="3">
        <v>1.9210000000000001E-2</v>
      </c>
      <c r="F36" s="3">
        <v>2.4629999999999999E-2</v>
      </c>
    </row>
    <row r="37" spans="1:6" x14ac:dyDescent="0.3">
      <c r="A37" s="15"/>
      <c r="B37" s="1" t="s">
        <v>9</v>
      </c>
      <c r="C37" s="1">
        <v>1460.82</v>
      </c>
      <c r="D37" s="18">
        <v>0.12573000000000001</v>
      </c>
      <c r="E37" s="2">
        <v>7.4152999999999997E-3</v>
      </c>
      <c r="F37" s="3">
        <v>1.5140000000000001E-2</v>
      </c>
    </row>
    <row r="38" spans="1:6" x14ac:dyDescent="0.3">
      <c r="A38" s="15"/>
      <c r="B38" s="1" t="s">
        <v>10</v>
      </c>
      <c r="C38" s="1">
        <v>238.63</v>
      </c>
      <c r="D38" s="3">
        <v>28.660440000000001</v>
      </c>
      <c r="E38" s="3">
        <v>6.6430000000000003E-2</v>
      </c>
      <c r="F38" s="3">
        <v>8.7370000000000003E-2</v>
      </c>
    </row>
    <row r="39" spans="1:6" x14ac:dyDescent="0.3">
      <c r="A39" s="15"/>
      <c r="B39" s="1" t="s">
        <v>11</v>
      </c>
      <c r="C39" s="1">
        <v>911.21</v>
      </c>
      <c r="D39" s="3">
        <v>6.30037</v>
      </c>
      <c r="E39" s="3">
        <v>2.835E-2</v>
      </c>
      <c r="F39" s="3">
        <v>3.049E-2</v>
      </c>
    </row>
    <row r="40" spans="1:6" x14ac:dyDescent="0.3">
      <c r="A40" s="15"/>
      <c r="B40" s="1"/>
      <c r="C40" s="1">
        <v>968.97</v>
      </c>
      <c r="D40" s="3">
        <v>3.6341000000000001</v>
      </c>
      <c r="E40" s="3">
        <v>2.2460000000000001E-2</v>
      </c>
      <c r="F40" s="3">
        <v>2.75E-2</v>
      </c>
    </row>
    <row r="41" spans="1:6" x14ac:dyDescent="0.3">
      <c r="A41" s="15"/>
      <c r="B41" s="1"/>
      <c r="C41" s="1">
        <v>338.32</v>
      </c>
      <c r="D41" s="3">
        <v>5.8263400000000001</v>
      </c>
      <c r="E41" s="3">
        <v>4.224E-2</v>
      </c>
      <c r="F41" s="3">
        <v>7.9960000000000003E-2</v>
      </c>
    </row>
    <row r="42" spans="1:6" x14ac:dyDescent="0.3">
      <c r="A42" s="15"/>
      <c r="B42" s="1" t="s">
        <v>12</v>
      </c>
      <c r="C42" s="1">
        <v>2614.5300000000002</v>
      </c>
      <c r="D42" s="3">
        <v>3.26315</v>
      </c>
      <c r="E42" s="3">
        <v>1.8280000000000001E-2</v>
      </c>
      <c r="F42" s="2">
        <v>6.5196000000000004E-3</v>
      </c>
    </row>
    <row r="43" spans="1:6" x14ac:dyDescent="0.3">
      <c r="A43" s="15"/>
      <c r="B43" s="1"/>
      <c r="C43" s="1">
        <v>583.19000000000005</v>
      </c>
      <c r="D43" s="3">
        <v>9.3568800000000003</v>
      </c>
      <c r="E43" s="3">
        <v>3.5209999999999998E-2</v>
      </c>
      <c r="F43" s="3">
        <v>4.0059999999999998E-2</v>
      </c>
    </row>
    <row r="44" spans="1:6" x14ac:dyDescent="0.3">
      <c r="A44" s="15"/>
      <c r="B44" s="1"/>
      <c r="C44" s="1">
        <v>510.77</v>
      </c>
      <c r="D44" s="18">
        <v>3.1710500000000001</v>
      </c>
      <c r="E44" s="3">
        <v>2.725E-2</v>
      </c>
      <c r="F44" s="3">
        <v>4.7509999999999997E-2</v>
      </c>
    </row>
    <row r="45" spans="1:6" x14ac:dyDescent="0.3">
      <c r="A45" s="15"/>
      <c r="B45" s="1"/>
      <c r="C45" s="1">
        <v>860.56</v>
      </c>
      <c r="D45" s="3">
        <v>1.0966199999999999</v>
      </c>
      <c r="E45" s="3">
        <v>1.461E-2</v>
      </c>
      <c r="F45" s="3">
        <v>2.3570000000000001E-2</v>
      </c>
    </row>
    <row r="46" spans="1:6" x14ac:dyDescent="0.3">
      <c r="A46" s="21">
        <v>4</v>
      </c>
      <c r="B46" s="1" t="s">
        <v>7</v>
      </c>
      <c r="C46" s="1">
        <v>351.93</v>
      </c>
      <c r="D46" s="3">
        <v>8.6722699999999993</v>
      </c>
      <c r="E46" s="3">
        <v>3.424E-2</v>
      </c>
      <c r="F46" s="3">
        <v>4.0379999999999999E-2</v>
      </c>
    </row>
    <row r="47" spans="1:6" x14ac:dyDescent="0.3">
      <c r="A47" s="15"/>
      <c r="B47" s="1"/>
      <c r="C47" s="1">
        <v>295.22000000000003</v>
      </c>
      <c r="D47" s="18" t="s">
        <v>43</v>
      </c>
      <c r="E47" s="3"/>
      <c r="F47" s="3"/>
    </row>
    <row r="48" spans="1:6" x14ac:dyDescent="0.3">
      <c r="A48" s="15"/>
      <c r="B48" s="1" t="s">
        <v>8</v>
      </c>
      <c r="C48" s="1">
        <v>609.32000000000005</v>
      </c>
      <c r="D48" s="3">
        <v>6.2674799999999999</v>
      </c>
      <c r="E48" s="3">
        <v>2.8250000000000001E-2</v>
      </c>
      <c r="F48" s="3">
        <v>3.0030000000000001E-2</v>
      </c>
    </row>
    <row r="49" spans="1:6" x14ac:dyDescent="0.3">
      <c r="A49" s="15"/>
      <c r="B49" s="1"/>
      <c r="C49" s="1">
        <v>1764.49</v>
      </c>
      <c r="D49" s="3">
        <v>1.0042899999999999</v>
      </c>
      <c r="E49" s="3">
        <v>1.0800000000000001E-2</v>
      </c>
      <c r="F49" s="2">
        <v>9.3615399999999998E-3</v>
      </c>
    </row>
    <row r="50" spans="1:6" x14ac:dyDescent="0.3">
      <c r="A50" s="15"/>
      <c r="B50" s="1"/>
      <c r="C50" s="1">
        <v>1120.29</v>
      </c>
      <c r="D50" s="18" t="s">
        <v>44</v>
      </c>
      <c r="E50" s="3"/>
      <c r="F50" s="3"/>
    </row>
    <row r="51" spans="1:6" x14ac:dyDescent="0.3">
      <c r="A51" s="15"/>
      <c r="B51" s="1" t="s">
        <v>9</v>
      </c>
      <c r="C51" s="1">
        <v>1460.82</v>
      </c>
      <c r="D51" s="18" t="s">
        <v>45</v>
      </c>
      <c r="E51" s="3"/>
      <c r="F51" s="3"/>
    </row>
    <row r="52" spans="1:6" x14ac:dyDescent="0.3">
      <c r="A52" s="15"/>
      <c r="B52" s="1" t="s">
        <v>10</v>
      </c>
      <c r="C52" s="1">
        <v>238.63</v>
      </c>
      <c r="D52" s="3">
        <v>19.508400000000002</v>
      </c>
      <c r="E52" s="3">
        <v>5.1799999999999999E-2</v>
      </c>
      <c r="F52" s="3">
        <v>6.234E-2</v>
      </c>
    </row>
    <row r="53" spans="1:6" x14ac:dyDescent="0.3">
      <c r="A53" s="15"/>
      <c r="B53" s="1" t="s">
        <v>11</v>
      </c>
      <c r="C53" s="1">
        <v>911.21</v>
      </c>
      <c r="D53" s="3">
        <v>3.9626700000000001</v>
      </c>
      <c r="E53" s="3">
        <v>2.1909999999999999E-2</v>
      </c>
      <c r="F53" s="3">
        <v>2.128E-2</v>
      </c>
    </row>
    <row r="54" spans="1:6" x14ac:dyDescent="0.3">
      <c r="A54" s="15"/>
      <c r="B54" s="1"/>
      <c r="C54" s="1">
        <v>968.97</v>
      </c>
      <c r="D54" s="3" t="s">
        <v>46</v>
      </c>
      <c r="E54" s="3"/>
      <c r="F54" s="3"/>
    </row>
    <row r="55" spans="1:6" x14ac:dyDescent="0.3">
      <c r="A55" s="15"/>
      <c r="B55" s="1"/>
      <c r="C55" s="1">
        <v>338.32</v>
      </c>
      <c r="D55" s="3">
        <v>3.8723800000000002</v>
      </c>
      <c r="E55" s="3">
        <v>3.1960000000000002E-2</v>
      </c>
      <c r="F55" s="3">
        <v>5.7619999999999998E-2</v>
      </c>
    </row>
    <row r="56" spans="1:6" x14ac:dyDescent="0.3">
      <c r="A56" s="15"/>
      <c r="B56" s="1" t="s">
        <v>12</v>
      </c>
      <c r="C56" s="1">
        <v>2614.5300000000002</v>
      </c>
      <c r="D56" s="3">
        <v>2.0161899999999999</v>
      </c>
      <c r="E56" s="3">
        <v>1.435E-2</v>
      </c>
      <c r="F56" s="2">
        <v>4.8617299999999999E-3</v>
      </c>
    </row>
    <row r="57" spans="1:6" x14ac:dyDescent="0.3">
      <c r="A57" s="15"/>
      <c r="B57" s="1"/>
      <c r="C57" s="1">
        <v>583.19000000000005</v>
      </c>
      <c r="D57" s="3">
        <v>5.9412900000000004</v>
      </c>
      <c r="E57" s="3">
        <v>2.724E-2</v>
      </c>
      <c r="F57" s="3">
        <v>2.8250000000000001E-2</v>
      </c>
    </row>
    <row r="58" spans="1:6" x14ac:dyDescent="0.3">
      <c r="A58" s="15"/>
      <c r="B58" s="1"/>
      <c r="C58" s="1">
        <v>510.77</v>
      </c>
      <c r="D58" s="3">
        <v>1.9478800000000001</v>
      </c>
      <c r="E58" s="3">
        <v>2.0389999999999998E-2</v>
      </c>
      <c r="F58" s="3">
        <v>3.422E-2</v>
      </c>
    </row>
    <row r="59" spans="1:6" x14ac:dyDescent="0.3">
      <c r="A59" s="15"/>
      <c r="B59" s="1"/>
      <c r="C59" s="1">
        <v>860.56</v>
      </c>
      <c r="D59" s="3">
        <v>0.67796999999999996</v>
      </c>
      <c r="E59" s="3">
        <v>1.0800000000000001E-2</v>
      </c>
      <c r="F59" s="3">
        <v>1.6250000000000001E-2</v>
      </c>
    </row>
    <row r="60" spans="1:6" x14ac:dyDescent="0.3">
      <c r="A60" s="21">
        <v>6</v>
      </c>
      <c r="B60" s="1" t="s">
        <v>7</v>
      </c>
      <c r="C60" s="1">
        <v>351.93</v>
      </c>
      <c r="D60" s="4">
        <v>6.1359999999999998E-2</v>
      </c>
      <c r="E60" s="5">
        <v>3.0561899999999999E-3</v>
      </c>
      <c r="F60" s="5">
        <v>4.1686199999999996E-3</v>
      </c>
    </row>
    <row r="61" spans="1:6" x14ac:dyDescent="0.3">
      <c r="A61" s="15"/>
      <c r="B61" s="1"/>
      <c r="C61" s="1">
        <v>295.22000000000003</v>
      </c>
      <c r="D61" s="4">
        <v>3.5299999999999998E-2</v>
      </c>
      <c r="E61" s="5">
        <v>3.0675400000000001E-3</v>
      </c>
      <c r="F61" s="5">
        <v>5.6811800000000001E-3</v>
      </c>
    </row>
    <row r="62" spans="1:6" x14ac:dyDescent="0.3">
      <c r="A62" s="15"/>
      <c r="B62" s="1" t="s">
        <v>8</v>
      </c>
      <c r="C62" s="1">
        <v>609.32000000000005</v>
      </c>
      <c r="D62" s="4">
        <v>4.3240000000000001E-2</v>
      </c>
      <c r="E62" s="5">
        <v>2.4428599999999998E-3</v>
      </c>
      <c r="F62" s="5">
        <v>3.0106999999999998E-3</v>
      </c>
    </row>
    <row r="63" spans="1:6" x14ac:dyDescent="0.3">
      <c r="A63" s="15"/>
      <c r="B63" s="1"/>
      <c r="C63" s="1">
        <v>1764.49</v>
      </c>
      <c r="D63" s="5">
        <v>5.7285910799999996E-3</v>
      </c>
      <c r="E63" s="5">
        <v>9.6991999999999998E-4</v>
      </c>
      <c r="F63" s="5">
        <v>1.3930399999999999E-3</v>
      </c>
    </row>
    <row r="64" spans="1:6" x14ac:dyDescent="0.3">
      <c r="A64" s="15"/>
      <c r="B64" s="1"/>
      <c r="C64" s="1">
        <v>1120.29</v>
      </c>
      <c r="D64" s="18" t="s">
        <v>47</v>
      </c>
      <c r="E64" s="5"/>
      <c r="F64" s="5"/>
    </row>
    <row r="65" spans="1:6" x14ac:dyDescent="0.3">
      <c r="A65" s="15"/>
      <c r="B65" s="1" t="s">
        <v>9</v>
      </c>
      <c r="C65" s="1">
        <v>1460.82</v>
      </c>
      <c r="D65" s="18" t="s">
        <v>48</v>
      </c>
      <c r="E65" s="5"/>
      <c r="F65" s="5"/>
    </row>
    <row r="66" spans="1:6" x14ac:dyDescent="0.3">
      <c r="A66" s="15"/>
      <c r="B66" s="1" t="s">
        <v>10</v>
      </c>
      <c r="C66" s="1">
        <v>238.63</v>
      </c>
      <c r="D66" s="4">
        <v>0.22578999999999999</v>
      </c>
      <c r="E66" s="5">
        <v>5.5112599999999996E-3</v>
      </c>
      <c r="F66" s="5">
        <v>6.5332200000000002E-3</v>
      </c>
    </row>
    <row r="67" spans="1:6" x14ac:dyDescent="0.3">
      <c r="A67" s="15"/>
      <c r="B67" s="1" t="s">
        <v>11</v>
      </c>
      <c r="C67" s="1">
        <v>911.21</v>
      </c>
      <c r="D67" s="4">
        <v>4.0809999999999999E-2</v>
      </c>
      <c r="E67" s="5">
        <v>2.2343799999999998E-3</v>
      </c>
      <c r="F67" s="5">
        <v>2.2613300000000002E-3</v>
      </c>
    </row>
    <row r="68" spans="1:6" x14ac:dyDescent="0.3">
      <c r="A68" s="15"/>
      <c r="B68" s="1"/>
      <c r="C68" s="1">
        <v>968.97</v>
      </c>
      <c r="D68" s="4">
        <v>2.3380000000000001E-2</v>
      </c>
      <c r="E68" s="5">
        <v>1.8876400000000001E-3</v>
      </c>
      <c r="F68" s="5">
        <v>2.5960900000000001E-3</v>
      </c>
    </row>
    <row r="69" spans="1:6" x14ac:dyDescent="0.3">
      <c r="A69" s="15"/>
      <c r="B69" s="1"/>
      <c r="C69" s="1">
        <v>338.32</v>
      </c>
      <c r="D69" s="4">
        <v>4.1689999999999998E-2</v>
      </c>
      <c r="E69" s="5">
        <v>2.79854E-3</v>
      </c>
      <c r="F69" s="5">
        <v>4.5056000000000002E-3</v>
      </c>
    </row>
    <row r="70" spans="1:6" x14ac:dyDescent="0.3">
      <c r="A70" s="15"/>
      <c r="B70" s="1" t="s">
        <v>12</v>
      </c>
      <c r="C70" s="1">
        <v>2614.5300000000002</v>
      </c>
      <c r="D70" s="19" t="s">
        <v>49</v>
      </c>
      <c r="E70" s="5"/>
      <c r="F70" s="5"/>
    </row>
    <row r="71" spans="1:6" x14ac:dyDescent="0.3">
      <c r="A71" s="15"/>
      <c r="B71" s="1"/>
      <c r="C71" s="1">
        <v>583.19000000000005</v>
      </c>
      <c r="D71" s="4">
        <v>6.2469999999999998E-2</v>
      </c>
      <c r="E71" s="5">
        <v>2.8530299999999999E-3</v>
      </c>
      <c r="F71" s="6">
        <v>3.2333000000000001E-3</v>
      </c>
    </row>
    <row r="72" spans="1:6" x14ac:dyDescent="0.3">
      <c r="A72" s="15"/>
      <c r="B72" s="1"/>
      <c r="C72" s="1">
        <v>510.77</v>
      </c>
      <c r="D72" s="4">
        <v>3.8989999999999997E-2</v>
      </c>
      <c r="E72" s="5">
        <v>2.5776699999999998E-3</v>
      </c>
      <c r="F72" s="5">
        <v>3.8618599999999999E-3</v>
      </c>
    </row>
    <row r="73" spans="1:6" x14ac:dyDescent="0.3">
      <c r="A73" s="15"/>
      <c r="B73" s="1"/>
      <c r="C73" s="1">
        <v>860.56</v>
      </c>
      <c r="D73" s="5">
        <v>6.3352855699999999E-3</v>
      </c>
      <c r="E73" s="5">
        <v>1.1599500000000001E-3</v>
      </c>
      <c r="F73" s="5">
        <v>2.0140399999999999E-3</v>
      </c>
    </row>
    <row r="74" spans="1:6" x14ac:dyDescent="0.3">
      <c r="A74" s="15">
        <v>7</v>
      </c>
      <c r="B74" s="1" t="s">
        <v>7</v>
      </c>
      <c r="C74" s="1">
        <v>351.93</v>
      </c>
      <c r="D74" s="3">
        <v>5.4020700000000001</v>
      </c>
      <c r="E74" s="3">
        <v>2.7050000000000001E-2</v>
      </c>
      <c r="F74" s="3">
        <v>3.1949999999999999E-2</v>
      </c>
    </row>
    <row r="75" spans="1:6" x14ac:dyDescent="0.3">
      <c r="A75" s="15"/>
      <c r="B75" s="1"/>
      <c r="C75" s="1">
        <v>295.22000000000003</v>
      </c>
      <c r="D75" s="3">
        <v>3.2126800000000002</v>
      </c>
      <c r="E75" s="3">
        <v>2.6499999999999999E-2</v>
      </c>
      <c r="F75" s="3">
        <v>4.5310000000000003E-2</v>
      </c>
    </row>
    <row r="76" spans="1:6" x14ac:dyDescent="0.3">
      <c r="A76" s="15"/>
      <c r="B76" s="1" t="s">
        <v>8</v>
      </c>
      <c r="C76" s="1">
        <v>609.32000000000005</v>
      </c>
      <c r="D76" s="3">
        <v>3.8242600000000002</v>
      </c>
      <c r="E76" s="3">
        <v>2.1999999999999999E-2</v>
      </c>
      <c r="F76" s="3">
        <v>2.3130000000000001E-2</v>
      </c>
    </row>
    <row r="77" spans="1:6" x14ac:dyDescent="0.3">
      <c r="A77" s="15"/>
      <c r="B77" s="1"/>
      <c r="C77" s="1">
        <v>1764.49</v>
      </c>
      <c r="D77" s="3">
        <v>0.59765999999999997</v>
      </c>
      <c r="E77" s="2">
        <v>8.5131200000000008E-3</v>
      </c>
      <c r="F77" s="2">
        <v>8.2332199999999994E-3</v>
      </c>
    </row>
    <row r="78" spans="1:6" x14ac:dyDescent="0.3">
      <c r="A78" s="15"/>
      <c r="B78" s="1"/>
      <c r="C78" s="1">
        <v>1120.29</v>
      </c>
      <c r="D78" s="3">
        <v>0.78246000000000004</v>
      </c>
      <c r="E78" s="3">
        <v>1.022E-2</v>
      </c>
      <c r="F78" s="3">
        <v>1.1639999999999999E-2</v>
      </c>
    </row>
    <row r="79" spans="1:6" x14ac:dyDescent="0.3">
      <c r="A79" s="15"/>
      <c r="B79" s="1" t="s">
        <v>9</v>
      </c>
      <c r="C79" s="1">
        <v>1460.82</v>
      </c>
      <c r="D79" s="3">
        <v>9.4839999999999994E-2</v>
      </c>
      <c r="E79" s="2">
        <v>5.2994699999999997E-3</v>
      </c>
      <c r="F79" s="3">
        <v>1.0070000000000001E-2</v>
      </c>
    </row>
    <row r="80" spans="1:6" x14ac:dyDescent="0.3">
      <c r="A80" s="15"/>
      <c r="B80" s="1" t="s">
        <v>10</v>
      </c>
      <c r="C80" s="1">
        <v>238.63</v>
      </c>
      <c r="D80" s="3">
        <v>21.03227</v>
      </c>
      <c r="E80" s="3">
        <v>5.1200000000000002E-2</v>
      </c>
      <c r="F80" s="3">
        <v>5.2510000000000001E-2</v>
      </c>
    </row>
    <row r="81" spans="1:6" x14ac:dyDescent="0.3">
      <c r="A81" s="15"/>
      <c r="B81" s="1" t="s">
        <v>11</v>
      </c>
      <c r="C81" s="1">
        <v>911.21</v>
      </c>
      <c r="D81" s="3">
        <v>3.85616</v>
      </c>
      <c r="E81" s="3">
        <v>2.1219999999999999E-2</v>
      </c>
      <c r="F81" s="3">
        <v>1.865E-2</v>
      </c>
    </row>
    <row r="82" spans="1:6" x14ac:dyDescent="0.3">
      <c r="A82" s="15"/>
      <c r="B82" s="1"/>
      <c r="C82" s="1">
        <v>968.97</v>
      </c>
      <c r="D82" s="3">
        <v>2.2327300000000001</v>
      </c>
      <c r="E82" s="3">
        <v>1.6879999999999999E-2</v>
      </c>
      <c r="F82" s="3">
        <v>1.822E-2</v>
      </c>
    </row>
    <row r="83" spans="1:6" x14ac:dyDescent="0.3">
      <c r="A83" s="15"/>
      <c r="B83" s="1"/>
      <c r="C83" s="1">
        <v>338.32</v>
      </c>
      <c r="D83" s="3">
        <v>3.9106399999999999</v>
      </c>
      <c r="E83" s="3">
        <v>2.9229999999999999E-2</v>
      </c>
      <c r="F83" s="3">
        <v>4.9270000000000001E-2</v>
      </c>
    </row>
    <row r="84" spans="1:6" x14ac:dyDescent="0.3">
      <c r="A84" s="15"/>
      <c r="B84" s="1" t="s">
        <v>12</v>
      </c>
      <c r="C84" s="1">
        <v>2614.5300000000002</v>
      </c>
      <c r="D84" s="3">
        <v>1.9287799999999999</v>
      </c>
      <c r="E84" s="3">
        <v>1.401E-2</v>
      </c>
      <c r="F84" s="6">
        <v>4.3545499999999996E-3</v>
      </c>
    </row>
    <row r="85" spans="1:6" x14ac:dyDescent="0.3">
      <c r="A85" s="15"/>
      <c r="B85" s="1"/>
      <c r="C85" s="1">
        <v>583.19000000000005</v>
      </c>
      <c r="D85" s="3">
        <v>5.9160300000000001</v>
      </c>
      <c r="E85" s="3">
        <v>2.6769999999999999E-2</v>
      </c>
      <c r="F85" s="3">
        <v>2.598E-2</v>
      </c>
    </row>
    <row r="86" spans="1:6" x14ac:dyDescent="0.3">
      <c r="A86" s="15"/>
      <c r="B86" s="1"/>
      <c r="C86" s="1">
        <v>510.77</v>
      </c>
      <c r="D86" s="3">
        <v>1.82189</v>
      </c>
      <c r="E86" s="3">
        <v>1.754E-2</v>
      </c>
      <c r="F86" s="3">
        <v>2.5579999999999999E-2</v>
      </c>
    </row>
    <row r="87" spans="1:6" x14ac:dyDescent="0.3">
      <c r="A87" s="15"/>
      <c r="B87" s="1"/>
      <c r="C87" s="1">
        <v>860.56</v>
      </c>
      <c r="D87" s="3">
        <v>0.66524000000000005</v>
      </c>
      <c r="E87" s="3">
        <v>1.0580000000000001E-2</v>
      </c>
      <c r="F87" s="3">
        <v>1.5699999999999999E-2</v>
      </c>
    </row>
    <row r="88" spans="1:6" x14ac:dyDescent="0.3">
      <c r="A88" s="15">
        <v>8</v>
      </c>
      <c r="B88" s="1" t="s">
        <v>7</v>
      </c>
      <c r="C88" s="1">
        <v>351.93</v>
      </c>
      <c r="D88" s="4">
        <v>3.2261099999999998</v>
      </c>
      <c r="E88" s="4">
        <v>2.0760000000000001E-2</v>
      </c>
      <c r="F88" s="4">
        <v>2.3869999999999999E-2</v>
      </c>
    </row>
    <row r="89" spans="1:6" x14ac:dyDescent="0.3">
      <c r="A89" s="15"/>
      <c r="B89" s="1"/>
      <c r="C89" s="1">
        <v>295.22000000000003</v>
      </c>
      <c r="D89" s="4">
        <v>1.90855</v>
      </c>
      <c r="E89" s="4">
        <v>2.2450000000000001E-2</v>
      </c>
      <c r="F89" s="4">
        <v>4.0930000000000001E-2</v>
      </c>
    </row>
    <row r="90" spans="1:6" x14ac:dyDescent="0.3">
      <c r="A90" s="15"/>
      <c r="B90" s="1" t="s">
        <v>8</v>
      </c>
      <c r="C90" s="1">
        <v>609.32000000000005</v>
      </c>
      <c r="D90" s="4">
        <v>2.2885200000000001</v>
      </c>
      <c r="E90" s="4">
        <v>1.687E-2</v>
      </c>
      <c r="F90" s="4">
        <v>1.7399999999999999E-2</v>
      </c>
    </row>
    <row r="91" spans="1:6" x14ac:dyDescent="0.3">
      <c r="A91" s="15"/>
      <c r="B91" s="1"/>
      <c r="C91" s="1">
        <v>1764.49</v>
      </c>
      <c r="D91" s="4">
        <v>0.35025000000000001</v>
      </c>
      <c r="E91" s="5">
        <v>6.5564000000000004E-3</v>
      </c>
      <c r="F91" s="5">
        <v>6.5804799999999997E-3</v>
      </c>
    </row>
    <row r="92" spans="1:6" x14ac:dyDescent="0.3">
      <c r="A92" s="15"/>
      <c r="B92" s="1"/>
      <c r="C92" s="1">
        <v>1120.29</v>
      </c>
      <c r="D92" s="4">
        <v>0.46892</v>
      </c>
      <c r="E92" s="5">
        <v>8.6186000000000006E-3</v>
      </c>
      <c r="F92" s="4">
        <v>1.218E-2</v>
      </c>
    </row>
    <row r="93" spans="1:6" x14ac:dyDescent="0.3">
      <c r="A93" s="15"/>
      <c r="B93" s="1" t="s">
        <v>9</v>
      </c>
      <c r="C93" s="1">
        <v>1460.82</v>
      </c>
      <c r="D93" s="4">
        <v>5.2080000000000001E-2</v>
      </c>
      <c r="E93" s="5">
        <v>3.7474299999999999E-3</v>
      </c>
      <c r="F93" s="5">
        <v>6.8042900000000002E-3</v>
      </c>
    </row>
    <row r="94" spans="1:6" x14ac:dyDescent="0.3">
      <c r="A94" s="15"/>
      <c r="B94" s="1" t="s">
        <v>10</v>
      </c>
      <c r="C94" s="1">
        <v>238.63</v>
      </c>
      <c r="D94" s="4">
        <v>12.77411</v>
      </c>
      <c r="E94" s="4">
        <v>3.95E-2</v>
      </c>
      <c r="F94" s="4">
        <v>3.8679999999999999E-2</v>
      </c>
    </row>
    <row r="95" spans="1:6" x14ac:dyDescent="0.3">
      <c r="A95" s="15"/>
      <c r="B95" s="1" t="s">
        <v>11</v>
      </c>
      <c r="C95" s="1">
        <v>911.21</v>
      </c>
      <c r="D95" s="4">
        <v>2.3176700000000001</v>
      </c>
      <c r="E95" s="4">
        <v>1.652E-2</v>
      </c>
      <c r="F95" s="4">
        <v>1.499E-2</v>
      </c>
    </row>
    <row r="96" spans="1:6" x14ac:dyDescent="0.3">
      <c r="A96" s="15"/>
      <c r="B96" s="1"/>
      <c r="C96" s="1">
        <v>968.97</v>
      </c>
      <c r="D96" s="4">
        <v>1.3556600000000001</v>
      </c>
      <c r="E96" s="4">
        <v>1.316E-2</v>
      </c>
      <c r="F96" s="4">
        <v>1.43E-2</v>
      </c>
    </row>
    <row r="97" spans="1:6" x14ac:dyDescent="0.3">
      <c r="A97" s="15"/>
      <c r="B97" s="1"/>
      <c r="C97" s="1">
        <v>338.32</v>
      </c>
      <c r="D97" s="4">
        <v>2.3738800000000002</v>
      </c>
      <c r="E97" s="4">
        <v>2.2630000000000001E-2</v>
      </c>
      <c r="F97" s="4">
        <v>3.7819999999999999E-2</v>
      </c>
    </row>
    <row r="98" spans="1:6" x14ac:dyDescent="0.3">
      <c r="A98" s="15"/>
      <c r="B98" s="1" t="s">
        <v>12</v>
      </c>
      <c r="C98" s="1">
        <v>2614.5300000000002</v>
      </c>
      <c r="D98" s="4">
        <v>1.1590400000000001</v>
      </c>
      <c r="E98" s="4">
        <v>1.091E-2</v>
      </c>
      <c r="F98" s="5">
        <v>4.0718000000000004E-3</v>
      </c>
    </row>
    <row r="99" spans="1:6" x14ac:dyDescent="0.3">
      <c r="A99" s="15"/>
      <c r="B99" s="1"/>
      <c r="C99" s="1">
        <v>583.19000000000005</v>
      </c>
      <c r="D99" s="4">
        <v>3.5626099999999998</v>
      </c>
      <c r="E99" s="4">
        <v>2.0580000000000001E-2</v>
      </c>
      <c r="F99" s="4">
        <v>1.883E-2</v>
      </c>
    </row>
    <row r="100" spans="1:6" x14ac:dyDescent="0.3">
      <c r="A100" s="15"/>
      <c r="B100" s="1"/>
      <c r="C100" s="1">
        <v>510.77</v>
      </c>
      <c r="D100" s="4">
        <v>1.11033</v>
      </c>
      <c r="E100" s="4">
        <v>1.3440000000000001E-2</v>
      </c>
      <c r="F100" s="4">
        <v>1.9109999999999999E-2</v>
      </c>
    </row>
    <row r="101" spans="1:6" x14ac:dyDescent="0.3">
      <c r="A101" s="15"/>
      <c r="B101" s="1"/>
      <c r="C101" s="1">
        <v>860.56</v>
      </c>
      <c r="D101" s="4">
        <v>0.40194000000000002</v>
      </c>
      <c r="E101" s="5">
        <v>7.5755900000000001E-3</v>
      </c>
      <c r="F101" s="5">
        <v>9.62966E-3</v>
      </c>
    </row>
    <row r="102" spans="1:6" x14ac:dyDescent="0.3">
      <c r="A102" s="21">
        <v>9</v>
      </c>
      <c r="B102" s="1" t="s">
        <v>7</v>
      </c>
      <c r="C102" s="1">
        <v>351.93</v>
      </c>
      <c r="D102" s="4">
        <v>0.46023999999999998</v>
      </c>
      <c r="E102" s="5">
        <v>7.7459199999999999E-3</v>
      </c>
      <c r="F102" s="5">
        <v>8.7104299999999999E-3</v>
      </c>
    </row>
    <row r="103" spans="1:6" x14ac:dyDescent="0.3">
      <c r="A103" s="15"/>
      <c r="B103" s="1"/>
      <c r="C103" s="1">
        <v>295.22000000000003</v>
      </c>
      <c r="D103" s="18" t="s">
        <v>50</v>
      </c>
      <c r="E103" s="5"/>
      <c r="F103" s="4"/>
    </row>
    <row r="104" spans="1:6" x14ac:dyDescent="0.3">
      <c r="A104" s="15"/>
      <c r="B104" s="1" t="s">
        <v>8</v>
      </c>
      <c r="C104" s="1">
        <v>609.32000000000005</v>
      </c>
      <c r="D104" s="4">
        <v>0.31827</v>
      </c>
      <c r="E104" s="5">
        <v>6.2443300000000002E-3</v>
      </c>
      <c r="F104" s="5">
        <v>6.28555E-3</v>
      </c>
    </row>
    <row r="105" spans="1:6" x14ac:dyDescent="0.3">
      <c r="A105" s="15"/>
      <c r="B105" s="1"/>
      <c r="C105" s="1">
        <v>1764.49</v>
      </c>
      <c r="D105" s="4">
        <v>5.2949999999999997E-2</v>
      </c>
      <c r="E105" s="5">
        <v>2.4507600000000002E-3</v>
      </c>
      <c r="F105" s="5">
        <v>1.9983399999999999E-3</v>
      </c>
    </row>
    <row r="106" spans="1:6" x14ac:dyDescent="0.3">
      <c r="A106" s="15"/>
      <c r="B106" s="1"/>
      <c r="C106" s="1">
        <v>1120.29</v>
      </c>
      <c r="D106" s="18" t="s">
        <v>51</v>
      </c>
      <c r="E106" s="5"/>
      <c r="F106" s="5"/>
    </row>
    <row r="107" spans="1:6" x14ac:dyDescent="0.3">
      <c r="A107" s="15"/>
      <c r="B107" s="1" t="s">
        <v>9</v>
      </c>
      <c r="C107" s="1">
        <v>1460.82</v>
      </c>
      <c r="D107" s="4">
        <v>1.6650000000000002E-2</v>
      </c>
      <c r="E107" s="5">
        <v>1.8264799999999999E-3</v>
      </c>
      <c r="F107" s="5">
        <v>3.06084E-3</v>
      </c>
    </row>
    <row r="108" spans="1:6" x14ac:dyDescent="0.3">
      <c r="A108" s="15"/>
      <c r="B108" s="1" t="s">
        <v>10</v>
      </c>
      <c r="C108" s="1">
        <v>238.63</v>
      </c>
      <c r="D108" s="19" t="s">
        <v>52</v>
      </c>
      <c r="E108" s="4"/>
      <c r="F108" s="4"/>
    </row>
    <row r="109" spans="1:6" x14ac:dyDescent="0.3">
      <c r="A109" s="15"/>
      <c r="B109" s="1" t="s">
        <v>11</v>
      </c>
      <c r="C109" s="1">
        <v>911.21</v>
      </c>
      <c r="D109" s="18" t="s">
        <v>53</v>
      </c>
      <c r="E109" s="5"/>
      <c r="F109" s="6"/>
    </row>
    <row r="110" spans="1:6" x14ac:dyDescent="0.3">
      <c r="A110" s="15"/>
      <c r="B110" s="1"/>
      <c r="C110" s="1">
        <v>968.97</v>
      </c>
      <c r="D110" s="4">
        <v>0.14013999999999999</v>
      </c>
      <c r="E110" s="5">
        <v>4.2095700000000002E-3</v>
      </c>
      <c r="F110" s="5">
        <v>4.5050899999999998E-3</v>
      </c>
    </row>
    <row r="111" spans="1:6" x14ac:dyDescent="0.3">
      <c r="A111" s="15"/>
      <c r="B111" s="1"/>
      <c r="C111" s="1">
        <v>338.32</v>
      </c>
      <c r="D111" s="4">
        <v>0.23507</v>
      </c>
      <c r="E111" s="5">
        <v>6.0651500000000001E-3</v>
      </c>
      <c r="F111" s="5">
        <v>8.5097999999999997E-3</v>
      </c>
    </row>
    <row r="112" spans="1:6" x14ac:dyDescent="0.3">
      <c r="A112" s="15"/>
      <c r="B112" s="1" t="s">
        <v>12</v>
      </c>
      <c r="C112" s="1">
        <v>2614.5300000000002</v>
      </c>
      <c r="D112" s="4">
        <v>0.12156</v>
      </c>
      <c r="E112" s="5">
        <v>3.54229E-3</v>
      </c>
      <c r="F112" s="5">
        <v>1.47153E-3</v>
      </c>
    </row>
    <row r="113" spans="1:6" x14ac:dyDescent="0.3">
      <c r="A113" s="15"/>
      <c r="B113" s="1"/>
      <c r="C113" s="1">
        <v>583.19000000000005</v>
      </c>
      <c r="D113" s="4">
        <v>0.36101</v>
      </c>
      <c r="E113" s="5">
        <v>6.6736499999999997E-3</v>
      </c>
      <c r="F113" s="5">
        <v>6.7508500000000001E-3</v>
      </c>
    </row>
    <row r="114" spans="1:6" x14ac:dyDescent="0.3">
      <c r="A114" s="15"/>
      <c r="B114" s="1"/>
      <c r="C114" s="1">
        <v>510.77</v>
      </c>
      <c r="D114" s="4">
        <v>0.12953000000000001</v>
      </c>
      <c r="E114" s="5">
        <v>4.6507400000000004E-3</v>
      </c>
      <c r="F114" s="5">
        <v>6.7456199999999999E-3</v>
      </c>
    </row>
    <row r="115" spans="1:6" x14ac:dyDescent="0.3">
      <c r="A115" s="15"/>
      <c r="B115" s="1"/>
      <c r="C115" s="1">
        <v>860.56</v>
      </c>
      <c r="D115" s="4">
        <v>4.2270000000000002E-2</v>
      </c>
      <c r="E115" s="5">
        <v>2.6296900000000001E-3</v>
      </c>
      <c r="F115" s="5">
        <v>3.8430999999999999E-3</v>
      </c>
    </row>
    <row r="116" spans="1:6" x14ac:dyDescent="0.3">
      <c r="A116" s="15">
        <v>10</v>
      </c>
      <c r="B116" s="1" t="s">
        <v>7</v>
      </c>
      <c r="C116" s="1">
        <v>351.93</v>
      </c>
      <c r="D116" s="4">
        <v>0.14113999999999999</v>
      </c>
      <c r="E116" s="5">
        <v>4.3961800000000004E-3</v>
      </c>
      <c r="F116" s="5">
        <v>5.3316500000000003E-3</v>
      </c>
    </row>
    <row r="117" spans="1:6" x14ac:dyDescent="0.3">
      <c r="A117" s="15"/>
      <c r="B117" s="1"/>
      <c r="C117" s="1">
        <v>295.22000000000003</v>
      </c>
      <c r="D117" s="4">
        <v>8.3470000000000003E-2</v>
      </c>
      <c r="E117" s="5">
        <v>4.1361599999999998E-3</v>
      </c>
      <c r="F117" s="5">
        <v>6.9146900000000002E-3</v>
      </c>
    </row>
    <row r="118" spans="1:6" x14ac:dyDescent="0.3">
      <c r="A118" s="15"/>
      <c r="B118" s="1" t="s">
        <v>8</v>
      </c>
      <c r="C118" s="1">
        <v>609.32000000000005</v>
      </c>
      <c r="D118" s="4">
        <v>9.8519999999999996E-2</v>
      </c>
      <c r="E118" s="5">
        <v>3.6176699999999999E-3</v>
      </c>
      <c r="F118" s="5">
        <v>4.2305600000000004E-3</v>
      </c>
    </row>
    <row r="119" spans="1:6" x14ac:dyDescent="0.3">
      <c r="A119" s="15"/>
      <c r="B119" s="1"/>
      <c r="C119" s="1">
        <v>1764.49</v>
      </c>
      <c r="D119" s="4">
        <v>1.5939999999999999E-2</v>
      </c>
      <c r="E119" s="5">
        <v>1.4113400000000001E-3</v>
      </c>
      <c r="F119" s="5">
        <v>1.5204800000000001E-3</v>
      </c>
    </row>
    <row r="120" spans="1:6" x14ac:dyDescent="0.3">
      <c r="A120" s="15"/>
      <c r="B120" s="1"/>
      <c r="C120" s="1">
        <v>1120.29</v>
      </c>
      <c r="D120" s="4">
        <v>1.9060000000000001E-2</v>
      </c>
      <c r="E120" s="5">
        <v>1.7215900000000001E-3</v>
      </c>
      <c r="F120" s="5">
        <v>2.4420000000000002E-3</v>
      </c>
    </row>
    <row r="121" spans="1:6" x14ac:dyDescent="0.3">
      <c r="A121" s="15"/>
      <c r="B121" s="1" t="s">
        <v>9</v>
      </c>
      <c r="C121" s="1">
        <v>1460.82</v>
      </c>
      <c r="D121" s="4">
        <v>1.009E-2</v>
      </c>
      <c r="E121" s="5">
        <v>1.2807700000000001E-3</v>
      </c>
      <c r="F121" s="5">
        <v>1.90682E-3</v>
      </c>
    </row>
    <row r="122" spans="1:6" x14ac:dyDescent="0.3">
      <c r="A122" s="15"/>
      <c r="B122" s="1" t="s">
        <v>10</v>
      </c>
      <c r="C122" s="1">
        <v>238.63</v>
      </c>
      <c r="D122" s="4">
        <v>0.37373000000000001</v>
      </c>
      <c r="E122" s="5">
        <v>6.9735200000000004E-3</v>
      </c>
      <c r="F122" s="5">
        <v>7.8532099999999994E-3</v>
      </c>
    </row>
    <row r="123" spans="1:6" x14ac:dyDescent="0.3">
      <c r="A123" s="15"/>
      <c r="B123" s="1" t="s">
        <v>11</v>
      </c>
      <c r="C123" s="1">
        <v>911.21</v>
      </c>
      <c r="D123" s="4">
        <v>6.7080000000000001E-2</v>
      </c>
      <c r="E123" s="5">
        <v>2.8600800000000001E-3</v>
      </c>
      <c r="F123" s="5">
        <v>2.8177100000000002E-3</v>
      </c>
    </row>
    <row r="124" spans="1:6" x14ac:dyDescent="0.3">
      <c r="A124" s="15"/>
      <c r="B124" s="1"/>
      <c r="C124" s="1">
        <v>968.97</v>
      </c>
      <c r="D124" s="4">
        <v>3.934E-2</v>
      </c>
      <c r="E124" s="5">
        <v>2.38835E-3</v>
      </c>
      <c r="F124" s="5">
        <v>3.1451600000000001E-3</v>
      </c>
    </row>
    <row r="125" spans="1:6" x14ac:dyDescent="0.3">
      <c r="A125" s="15"/>
      <c r="B125" s="1"/>
      <c r="C125" s="1">
        <v>338.32</v>
      </c>
      <c r="D125" s="4">
        <v>7.1940000000000004E-2</v>
      </c>
      <c r="E125" s="5">
        <v>3.6927399999999999E-3</v>
      </c>
      <c r="F125" s="5">
        <v>5.9552800000000003E-3</v>
      </c>
    </row>
    <row r="126" spans="1:6" x14ac:dyDescent="0.3">
      <c r="A126" s="15"/>
      <c r="B126" s="1" t="s">
        <v>12</v>
      </c>
      <c r="C126" s="1">
        <v>2614.5300000000002</v>
      </c>
      <c r="D126" s="4">
        <v>3.875E-2</v>
      </c>
      <c r="E126" s="5">
        <v>1.9953700000000002E-3</v>
      </c>
      <c r="F126" s="5">
        <v>8.1094100000000003E-4</v>
      </c>
    </row>
    <row r="127" spans="1:6" x14ac:dyDescent="0.3">
      <c r="A127" s="15"/>
      <c r="B127" s="1"/>
      <c r="C127" s="1">
        <v>583.19000000000005</v>
      </c>
      <c r="D127" s="4">
        <v>0.10879</v>
      </c>
      <c r="E127" s="5">
        <v>3.66929E-3</v>
      </c>
      <c r="F127" s="5">
        <v>3.7765099999999998E-3</v>
      </c>
    </row>
    <row r="128" spans="1:6" x14ac:dyDescent="0.3">
      <c r="A128" s="15"/>
      <c r="B128" s="1"/>
      <c r="C128" s="1">
        <v>510.77</v>
      </c>
      <c r="D128" s="4">
        <v>4.8669999999999998E-2</v>
      </c>
      <c r="E128" s="5">
        <v>2.8480900000000002E-3</v>
      </c>
      <c r="F128" s="5">
        <v>4.1504300000000001E-3</v>
      </c>
    </row>
    <row r="129" spans="1:6" x14ac:dyDescent="0.3">
      <c r="A129" s="15"/>
      <c r="B129" s="1"/>
      <c r="C129" s="1">
        <v>860.56</v>
      </c>
      <c r="D129" s="4">
        <v>1.1639999999999999E-2</v>
      </c>
      <c r="E129" s="5">
        <v>1.5716899999999999E-3</v>
      </c>
      <c r="F129" s="5">
        <v>2.71375E-3</v>
      </c>
    </row>
    <row r="130" spans="1:6" x14ac:dyDescent="0.3">
      <c r="A130" s="15">
        <v>12</v>
      </c>
      <c r="B130" s="1" t="s">
        <v>7</v>
      </c>
      <c r="C130" s="1">
        <v>351.93</v>
      </c>
      <c r="D130" s="4">
        <v>9.1910000000000006E-2</v>
      </c>
      <c r="E130" s="5">
        <v>3.57858E-3</v>
      </c>
      <c r="F130" s="5">
        <v>4.4632200000000004E-3</v>
      </c>
    </row>
    <row r="131" spans="1:6" x14ac:dyDescent="0.3">
      <c r="A131" s="15"/>
      <c r="B131" s="1"/>
      <c r="C131" s="1">
        <v>295.22000000000003</v>
      </c>
      <c r="D131" s="4">
        <v>5.3449999999999998E-2</v>
      </c>
      <c r="E131" s="5">
        <v>3.5170900000000001E-3</v>
      </c>
      <c r="F131" s="5">
        <v>6.1969800000000004E-3</v>
      </c>
    </row>
    <row r="132" spans="1:6" x14ac:dyDescent="0.3">
      <c r="A132" s="15"/>
      <c r="B132" s="1" t="s">
        <v>8</v>
      </c>
      <c r="C132" s="1">
        <v>609.32000000000005</v>
      </c>
      <c r="D132" s="4">
        <v>6.59E-2</v>
      </c>
      <c r="E132" s="5">
        <v>2.9711400000000002E-3</v>
      </c>
      <c r="F132" s="5">
        <v>3.5133299999999998E-3</v>
      </c>
    </row>
    <row r="133" spans="1:6" x14ac:dyDescent="0.3">
      <c r="A133" s="15"/>
      <c r="B133" s="1"/>
      <c r="C133" s="1">
        <v>1764.49</v>
      </c>
      <c r="D133" s="4">
        <v>1.052E-2</v>
      </c>
      <c r="E133" s="5">
        <v>1.18227E-3</v>
      </c>
      <c r="F133" s="5">
        <v>1.4107900000000001E-3</v>
      </c>
    </row>
    <row r="134" spans="1:6" x14ac:dyDescent="0.3">
      <c r="A134" s="15"/>
      <c r="B134" s="1"/>
      <c r="C134" s="1">
        <v>1120.29</v>
      </c>
      <c r="D134" s="4">
        <v>1.345E-2</v>
      </c>
      <c r="E134" s="5">
        <v>1.4268600000000001E-3</v>
      </c>
      <c r="F134" s="5">
        <v>1.9647599999999999E-3</v>
      </c>
    </row>
    <row r="135" spans="1:6" x14ac:dyDescent="0.3">
      <c r="A135" s="15"/>
      <c r="B135" s="1" t="s">
        <v>9</v>
      </c>
      <c r="C135" s="1">
        <v>1460.82</v>
      </c>
      <c r="D135" s="4">
        <v>1.2840000000000001E-2</v>
      </c>
      <c r="E135" s="5">
        <v>1.33275E-3</v>
      </c>
      <c r="F135" s="5">
        <v>1.6780199999999999E-3</v>
      </c>
    </row>
    <row r="136" spans="1:6" x14ac:dyDescent="0.3">
      <c r="A136" s="15"/>
      <c r="B136" s="1" t="s">
        <v>10</v>
      </c>
      <c r="C136" s="1">
        <v>238.63</v>
      </c>
      <c r="D136" s="4">
        <v>0.23974999999999999</v>
      </c>
      <c r="E136" s="5">
        <v>5.6309699999999999E-3</v>
      </c>
      <c r="F136" s="5">
        <v>6.3678800000000002E-3</v>
      </c>
    </row>
    <row r="137" spans="1:6" x14ac:dyDescent="0.3">
      <c r="A137" s="15"/>
      <c r="B137" s="1" t="s">
        <v>11</v>
      </c>
      <c r="C137" s="1">
        <v>911.21</v>
      </c>
      <c r="D137" s="4">
        <v>4.8189999999999997E-2</v>
      </c>
      <c r="E137" s="5">
        <v>2.3986300000000001E-3</v>
      </c>
      <c r="F137" s="5">
        <v>2.3106300000000001E-3</v>
      </c>
    </row>
    <row r="138" spans="1:6" x14ac:dyDescent="0.3">
      <c r="A138" s="15"/>
      <c r="B138" s="1"/>
      <c r="C138" s="1">
        <v>968.97</v>
      </c>
      <c r="D138" s="4">
        <v>1.9449999999999999E-2</v>
      </c>
      <c r="E138" s="5">
        <v>2.0324499999999999E-3</v>
      </c>
      <c r="F138" s="5">
        <v>3.36587E-3</v>
      </c>
    </row>
    <row r="139" spans="1:6" x14ac:dyDescent="0.3">
      <c r="A139" s="15"/>
      <c r="B139" s="1"/>
      <c r="C139" s="1">
        <v>338.32</v>
      </c>
      <c r="D139" s="4">
        <v>4.4159999999999998E-2</v>
      </c>
      <c r="E139" s="5">
        <v>2.9035900000000002E-3</v>
      </c>
      <c r="F139" s="5">
        <v>4.6167500000000002E-3</v>
      </c>
    </row>
    <row r="140" spans="1:6" x14ac:dyDescent="0.3">
      <c r="A140" s="15"/>
      <c r="B140" s="1" t="s">
        <v>12</v>
      </c>
      <c r="C140" s="1">
        <v>2614.5300000000002</v>
      </c>
      <c r="D140" s="4">
        <v>2.5909999999999999E-2</v>
      </c>
      <c r="E140" s="5">
        <v>1.6450799999999999E-3</v>
      </c>
      <c r="F140" s="5">
        <v>8.3922399999999996E-4</v>
      </c>
    </row>
    <row r="141" spans="1:6" x14ac:dyDescent="0.3">
      <c r="A141" s="15"/>
      <c r="B141" s="1"/>
      <c r="C141" s="1">
        <v>583.19000000000005</v>
      </c>
      <c r="D141" s="4">
        <v>6.8940000000000001E-2</v>
      </c>
      <c r="E141" s="5">
        <v>2.9803199999999998E-3</v>
      </c>
      <c r="F141" s="5">
        <v>3.3079199999999998E-3</v>
      </c>
    </row>
    <row r="142" spans="1:6" x14ac:dyDescent="0.3">
      <c r="A142" s="15"/>
      <c r="B142" s="1"/>
      <c r="C142" s="1">
        <v>510.77</v>
      </c>
      <c r="D142" s="4">
        <v>3.7909999999999999E-2</v>
      </c>
      <c r="E142" s="5">
        <v>2.4731499999999999E-3</v>
      </c>
      <c r="F142" s="5">
        <v>3.6034399999999999E-3</v>
      </c>
    </row>
    <row r="143" spans="1:6" x14ac:dyDescent="0.3">
      <c r="A143" s="15"/>
      <c r="B143" s="1"/>
      <c r="C143" s="1">
        <v>860.56</v>
      </c>
      <c r="D143" s="5">
        <v>7.19762695E-3</v>
      </c>
      <c r="E143" s="5">
        <v>1.32362E-3</v>
      </c>
      <c r="F143" s="5">
        <v>2.3603500000000002E-3</v>
      </c>
    </row>
    <row r="144" spans="1:6" x14ac:dyDescent="0.3">
      <c r="A144" s="15">
        <v>13</v>
      </c>
      <c r="B144" s="1" t="s">
        <v>7</v>
      </c>
      <c r="C144" s="1">
        <v>351.93</v>
      </c>
      <c r="D144" s="4">
        <v>0.21238000000000001</v>
      </c>
      <c r="E144" s="5">
        <v>5.2516799999999999E-3</v>
      </c>
      <c r="F144" s="5">
        <v>5.7945200000000001E-3</v>
      </c>
    </row>
    <row r="145" spans="1:6" x14ac:dyDescent="0.3">
      <c r="A145" s="15"/>
      <c r="B145" s="1"/>
      <c r="C145" s="1">
        <v>295.22000000000003</v>
      </c>
      <c r="D145" s="4">
        <v>0.12179</v>
      </c>
      <c r="E145" s="5">
        <v>4.9355700000000002E-3</v>
      </c>
      <c r="F145" s="5">
        <v>8.1173700000000005E-3</v>
      </c>
    </row>
    <row r="146" spans="1:6" x14ac:dyDescent="0.3">
      <c r="A146" s="15"/>
      <c r="B146" s="1" t="s">
        <v>8</v>
      </c>
      <c r="C146" s="1">
        <v>609.32000000000005</v>
      </c>
      <c r="D146" s="4">
        <v>0.14463000000000001</v>
      </c>
      <c r="E146" s="5">
        <v>4.1789000000000001E-3</v>
      </c>
      <c r="F146" s="5">
        <v>3.9673800000000004E-3</v>
      </c>
    </row>
    <row r="147" spans="1:6" x14ac:dyDescent="0.3">
      <c r="A147" s="15"/>
      <c r="B147" s="1"/>
      <c r="C147" s="1">
        <v>1764.49</v>
      </c>
      <c r="D147" s="4">
        <v>2.0060000000000001E-2</v>
      </c>
      <c r="E147" s="5">
        <v>1.6548400000000001E-3</v>
      </c>
      <c r="F147" s="5">
        <v>1.9819199999999999E-3</v>
      </c>
    </row>
    <row r="148" spans="1:6" x14ac:dyDescent="0.3">
      <c r="A148" s="15"/>
      <c r="B148" s="1"/>
      <c r="C148" s="1">
        <v>1120.29</v>
      </c>
      <c r="D148" s="4">
        <v>2.9700000000000001E-2</v>
      </c>
      <c r="E148" s="5">
        <v>2.0657000000000002E-3</v>
      </c>
      <c r="F148" s="5">
        <v>2.6790099999999999E-3</v>
      </c>
    </row>
    <row r="149" spans="1:6" x14ac:dyDescent="0.3">
      <c r="A149" s="15"/>
      <c r="B149" s="1" t="s">
        <v>9</v>
      </c>
      <c r="C149" s="1">
        <v>1460.82</v>
      </c>
      <c r="D149" s="4">
        <v>1.3939999999999999E-2</v>
      </c>
      <c r="E149" s="5">
        <v>1.4499999999999999E-3</v>
      </c>
      <c r="F149" s="5">
        <v>2.00242E-3</v>
      </c>
    </row>
    <row r="150" spans="1:6" x14ac:dyDescent="0.3">
      <c r="A150" s="15"/>
      <c r="B150" s="1" t="s">
        <v>10</v>
      </c>
      <c r="C150" s="1">
        <v>238.63</v>
      </c>
      <c r="D150" s="4">
        <v>0.47843000000000002</v>
      </c>
      <c r="E150" s="5">
        <v>8.0756300000000003E-3</v>
      </c>
      <c r="F150" s="5">
        <v>9.7129E-3</v>
      </c>
    </row>
    <row r="151" spans="1:6" x14ac:dyDescent="0.3">
      <c r="A151" s="15"/>
      <c r="B151" s="1" t="s">
        <v>11</v>
      </c>
      <c r="C151" s="1">
        <v>911.21</v>
      </c>
      <c r="D151" s="4">
        <v>8.337E-2</v>
      </c>
      <c r="E151" s="5">
        <v>3.19514E-3</v>
      </c>
      <c r="F151" s="5">
        <v>3.15431E-3</v>
      </c>
    </row>
    <row r="152" spans="1:6" x14ac:dyDescent="0.3">
      <c r="A152" s="15"/>
      <c r="B152" s="1"/>
      <c r="C152" s="1">
        <v>968.97</v>
      </c>
      <c r="D152" s="4">
        <v>5.178E-2</v>
      </c>
      <c r="E152" s="5">
        <v>2.7525800000000001E-3</v>
      </c>
      <c r="F152" s="5">
        <v>3.6452899999999998E-3</v>
      </c>
    </row>
    <row r="153" spans="1:6" x14ac:dyDescent="0.3">
      <c r="A153" s="15"/>
      <c r="B153" s="1"/>
      <c r="C153" s="1">
        <v>338.32</v>
      </c>
      <c r="D153" s="4">
        <v>8.7249999999999994E-2</v>
      </c>
      <c r="E153" s="5">
        <v>3.9284300000000001E-3</v>
      </c>
      <c r="F153" s="5">
        <v>6.0510199999999998E-3</v>
      </c>
    </row>
    <row r="154" spans="1:6" x14ac:dyDescent="0.3">
      <c r="A154" s="15"/>
      <c r="B154" s="1" t="s">
        <v>12</v>
      </c>
      <c r="C154" s="1">
        <v>2614.5300000000002</v>
      </c>
      <c r="D154" s="4">
        <v>4.8430000000000001E-2</v>
      </c>
      <c r="E154" s="5">
        <v>2.2425100000000001E-3</v>
      </c>
      <c r="F154" s="5">
        <v>1.06375E-3</v>
      </c>
    </row>
    <row r="155" spans="1:6" x14ac:dyDescent="0.3">
      <c r="A155" s="15"/>
      <c r="B155" s="1"/>
      <c r="C155" s="1">
        <v>583.19000000000005</v>
      </c>
      <c r="D155" s="4">
        <v>0.13305</v>
      </c>
      <c r="E155" s="5">
        <v>4.0637199999999998E-3</v>
      </c>
      <c r="F155" s="5">
        <v>4.1927400000000004E-3</v>
      </c>
    </row>
    <row r="156" spans="1:6" x14ac:dyDescent="0.3">
      <c r="A156" s="15"/>
      <c r="B156" s="1"/>
      <c r="C156" s="1">
        <v>510.77</v>
      </c>
      <c r="D156" s="4">
        <v>6.2619999999999995E-2</v>
      </c>
      <c r="E156" s="5">
        <v>3.20499E-3</v>
      </c>
      <c r="F156" s="5">
        <v>4.6746299999999999E-3</v>
      </c>
    </row>
    <row r="157" spans="1:6" x14ac:dyDescent="0.3">
      <c r="A157" s="15"/>
      <c r="B157" s="1"/>
      <c r="C157" s="1">
        <v>860.56</v>
      </c>
      <c r="D157" s="4">
        <v>1.439E-2</v>
      </c>
      <c r="E157" s="5">
        <v>1.7704800000000001E-3</v>
      </c>
      <c r="F157" s="5">
        <v>3.0457399999999999E-3</v>
      </c>
    </row>
    <row r="158" spans="1:6" x14ac:dyDescent="0.3">
      <c r="A158" s="15">
        <v>14</v>
      </c>
      <c r="B158" s="1" t="s">
        <v>7</v>
      </c>
      <c r="C158" s="1">
        <v>351.93</v>
      </c>
      <c r="D158" s="4">
        <v>0.14998</v>
      </c>
      <c r="E158" s="5">
        <v>4.4105000000000004E-3</v>
      </c>
      <c r="F158" s="5">
        <v>4.9530499999999996E-3</v>
      </c>
    </row>
    <row r="159" spans="1:6" x14ac:dyDescent="0.3">
      <c r="A159" s="15"/>
      <c r="B159" s="1"/>
      <c r="C159" s="1">
        <v>295.22000000000003</v>
      </c>
      <c r="D159" s="4">
        <v>8.7660000000000002E-2</v>
      </c>
      <c r="E159" s="5">
        <v>4.2789899999999999E-3</v>
      </c>
      <c r="F159" s="5">
        <v>7.2191399999999998E-3</v>
      </c>
    </row>
    <row r="160" spans="1:6" x14ac:dyDescent="0.3">
      <c r="A160" s="15"/>
      <c r="B160" s="1" t="s">
        <v>8</v>
      </c>
      <c r="C160" s="1">
        <v>609.32000000000005</v>
      </c>
      <c r="D160" s="4">
        <v>0.10538</v>
      </c>
      <c r="E160" s="5">
        <v>3.5986500000000001E-3</v>
      </c>
      <c r="F160" s="5">
        <v>3.6541E-3</v>
      </c>
    </row>
    <row r="161" spans="1:6" x14ac:dyDescent="0.3">
      <c r="A161" s="15"/>
      <c r="B161" s="1"/>
      <c r="C161" s="1">
        <v>1764.49</v>
      </c>
      <c r="D161" s="4">
        <v>1.6660000000000001E-2</v>
      </c>
      <c r="E161" s="5">
        <v>1.46999E-3</v>
      </c>
      <c r="F161" s="5">
        <v>1.6850000000000001E-3</v>
      </c>
    </row>
    <row r="162" spans="1:6" x14ac:dyDescent="0.3">
      <c r="A162" s="15"/>
      <c r="B162" s="1"/>
      <c r="C162" s="1">
        <v>1120.29</v>
      </c>
      <c r="D162" s="4">
        <v>2.0570000000000001E-2</v>
      </c>
      <c r="E162" s="5">
        <v>1.7356800000000001E-3</v>
      </c>
      <c r="F162" s="5">
        <v>2.3336300000000002E-3</v>
      </c>
    </row>
    <row r="163" spans="1:6" x14ac:dyDescent="0.3">
      <c r="A163" s="15"/>
      <c r="B163" s="1" t="s">
        <v>9</v>
      </c>
      <c r="C163" s="1">
        <v>1460.82</v>
      </c>
      <c r="D163" s="5">
        <v>8.6172507000000006E-3</v>
      </c>
      <c r="E163" s="5">
        <v>1.24537E-3</v>
      </c>
      <c r="F163" s="5">
        <v>1.8514200000000001E-3</v>
      </c>
    </row>
    <row r="164" spans="1:6" x14ac:dyDescent="0.3">
      <c r="A164" s="15"/>
      <c r="B164" s="1" t="s">
        <v>10</v>
      </c>
      <c r="C164" s="1">
        <v>238.63</v>
      </c>
      <c r="D164" s="4">
        <v>0.33084999999999998</v>
      </c>
      <c r="E164" s="5">
        <v>6.8125700000000004E-3</v>
      </c>
      <c r="F164" s="5">
        <v>8.4440999999999995E-3</v>
      </c>
    </row>
    <row r="165" spans="1:6" x14ac:dyDescent="0.3">
      <c r="A165" s="15"/>
      <c r="B165" s="1" t="s">
        <v>11</v>
      </c>
      <c r="C165" s="1">
        <v>911.21</v>
      </c>
      <c r="D165" s="4">
        <v>6.3729999999999995E-2</v>
      </c>
      <c r="E165" s="5">
        <v>2.7714599999999999E-3</v>
      </c>
      <c r="F165" s="5">
        <v>2.7714599999999999E-3</v>
      </c>
    </row>
    <row r="166" spans="1:6" x14ac:dyDescent="0.3">
      <c r="A166" s="15"/>
      <c r="B166" s="1"/>
      <c r="C166" s="1">
        <v>968.97</v>
      </c>
      <c r="D166" s="4">
        <v>3.4470000000000001E-2</v>
      </c>
      <c r="E166" s="5">
        <v>2.2536000000000001E-3</v>
      </c>
      <c r="F166" s="6">
        <v>3.0225500000000001E-3</v>
      </c>
    </row>
    <row r="167" spans="1:6" x14ac:dyDescent="0.3">
      <c r="A167" s="15"/>
      <c r="B167" s="1"/>
      <c r="C167" s="1">
        <v>338.32</v>
      </c>
      <c r="D167" s="4">
        <v>5.9709999999999999E-2</v>
      </c>
      <c r="E167" s="5">
        <v>3.43911E-3</v>
      </c>
      <c r="F167" s="5">
        <v>5.6309400000000001E-3</v>
      </c>
    </row>
    <row r="168" spans="1:6" x14ac:dyDescent="0.3">
      <c r="A168" s="15"/>
      <c r="B168" s="1" t="s">
        <v>12</v>
      </c>
      <c r="C168" s="1">
        <v>2614.5300000000002</v>
      </c>
      <c r="D168" s="4">
        <v>3.6650000000000002E-2</v>
      </c>
      <c r="E168" s="5">
        <v>1.9557200000000002E-3</v>
      </c>
      <c r="F168" s="5">
        <v>9.8108200000000009E-4</v>
      </c>
    </row>
    <row r="169" spans="1:6" x14ac:dyDescent="0.3">
      <c r="A169" s="15"/>
      <c r="B169" s="1"/>
      <c r="C169" s="1">
        <v>583.19000000000005</v>
      </c>
      <c r="D169" s="4">
        <v>9.7339999999999996E-2</v>
      </c>
      <c r="E169" s="5">
        <v>3.48402E-3</v>
      </c>
      <c r="F169" s="5">
        <v>3.6104499999999999E-3</v>
      </c>
    </row>
    <row r="170" spans="1:6" x14ac:dyDescent="0.3">
      <c r="A170" s="15"/>
      <c r="B170" s="1"/>
      <c r="C170" s="1">
        <v>510.77</v>
      </c>
      <c r="D170" s="4">
        <v>4.9770000000000002E-2</v>
      </c>
      <c r="E170" s="5">
        <v>2.8821799999999998E-3</v>
      </c>
      <c r="F170" s="5">
        <v>4.2841199999999998E-3</v>
      </c>
    </row>
    <row r="171" spans="1:6" x14ac:dyDescent="0.3">
      <c r="A171" s="15"/>
      <c r="B171" s="1"/>
      <c r="C171" s="1">
        <v>860.56</v>
      </c>
      <c r="D171" s="4">
        <v>1.217E-2</v>
      </c>
      <c r="E171" s="5">
        <v>1.62027E-3</v>
      </c>
      <c r="F171" s="5">
        <v>2.8178000000000001E-3</v>
      </c>
    </row>
    <row r="172" spans="1:6" x14ac:dyDescent="0.3">
      <c r="A172" s="15">
        <v>15</v>
      </c>
      <c r="B172" s="1" t="s">
        <v>7</v>
      </c>
      <c r="C172" s="1">
        <v>351.93</v>
      </c>
      <c r="D172" s="4">
        <v>0.17501</v>
      </c>
      <c r="E172" s="5">
        <v>4.8876700000000002E-3</v>
      </c>
      <c r="F172" s="5">
        <v>5.7992399999999998E-3</v>
      </c>
    </row>
    <row r="173" spans="1:6" x14ac:dyDescent="0.3">
      <c r="A173" s="15"/>
      <c r="B173" s="1"/>
      <c r="C173" s="1">
        <v>295.22000000000003</v>
      </c>
      <c r="D173" s="4">
        <v>0.10199</v>
      </c>
      <c r="E173" s="5">
        <v>4.6363100000000003E-3</v>
      </c>
      <c r="F173" s="5">
        <v>7.8553800000000003E-3</v>
      </c>
    </row>
    <row r="174" spans="1:6" x14ac:dyDescent="0.3">
      <c r="A174" s="15"/>
      <c r="B174" s="1" t="s">
        <v>8</v>
      </c>
      <c r="C174" s="1">
        <v>609.32000000000005</v>
      </c>
      <c r="D174" s="4">
        <v>0.12770000000000001</v>
      </c>
      <c r="E174" s="5">
        <v>4.0061699999999999E-3</v>
      </c>
      <c r="F174" s="5">
        <v>4.1388199999999997E-3</v>
      </c>
    </row>
    <row r="175" spans="1:6" x14ac:dyDescent="0.3">
      <c r="A175" s="15"/>
      <c r="B175" s="1"/>
      <c r="C175" s="1">
        <v>1764.49</v>
      </c>
      <c r="D175" s="4">
        <v>1.7850000000000001E-2</v>
      </c>
      <c r="E175" s="5">
        <v>1.5340200000000001E-3</v>
      </c>
      <c r="F175" s="5">
        <v>1.79294E-3</v>
      </c>
    </row>
    <row r="176" spans="1:6" x14ac:dyDescent="0.3">
      <c r="A176" s="15"/>
      <c r="B176" s="1"/>
      <c r="C176" s="1">
        <v>1120.29</v>
      </c>
      <c r="D176" s="4">
        <v>2.4680000000000001E-2</v>
      </c>
      <c r="E176" s="5">
        <v>1.8688000000000001E-3</v>
      </c>
      <c r="F176" s="6">
        <v>2.4056300000000002E-3</v>
      </c>
    </row>
    <row r="177" spans="1:13" x14ac:dyDescent="0.3">
      <c r="A177" s="15"/>
      <c r="B177" s="1" t="s">
        <v>9</v>
      </c>
      <c r="C177" s="1">
        <v>1460.82</v>
      </c>
      <c r="D177" s="5">
        <v>3.1482319700000001E-3</v>
      </c>
      <c r="E177" s="5">
        <v>1.1479800000000001E-3</v>
      </c>
      <c r="F177" s="6">
        <v>2.0347799999999999E-3</v>
      </c>
    </row>
    <row r="178" spans="1:13" x14ac:dyDescent="0.3">
      <c r="A178" s="15"/>
      <c r="B178" s="1" t="s">
        <v>10</v>
      </c>
      <c r="C178" s="1">
        <v>238.63</v>
      </c>
      <c r="D178" s="4">
        <v>0.42560999999999999</v>
      </c>
      <c r="E178" s="5">
        <v>8.2687999999999998E-3</v>
      </c>
      <c r="F178" s="4">
        <v>1.115E-2</v>
      </c>
    </row>
    <row r="179" spans="1:13" x14ac:dyDescent="0.3">
      <c r="A179" s="15"/>
      <c r="B179" s="1" t="s">
        <v>11</v>
      </c>
      <c r="C179" s="1">
        <v>911.21</v>
      </c>
      <c r="D179" s="4">
        <v>9.2730000000000007E-2</v>
      </c>
      <c r="E179" s="5">
        <v>3.2951399999999998E-3</v>
      </c>
      <c r="F179" s="5">
        <v>2.9872399999999999E-3</v>
      </c>
    </row>
    <row r="180" spans="1:13" x14ac:dyDescent="0.3">
      <c r="A180" s="15"/>
      <c r="B180" s="1"/>
      <c r="C180" s="1">
        <v>968.97</v>
      </c>
      <c r="D180" s="4">
        <v>3.5680000000000003E-2</v>
      </c>
      <c r="E180" s="5">
        <v>2.6433699999999999E-3</v>
      </c>
      <c r="F180" s="5">
        <v>4.2535200000000002E-3</v>
      </c>
    </row>
    <row r="181" spans="1:13" x14ac:dyDescent="0.3">
      <c r="A181" s="15"/>
      <c r="B181" s="1"/>
      <c r="C181" s="1">
        <v>338.32</v>
      </c>
      <c r="D181" s="4">
        <v>8.7179999999999994E-2</v>
      </c>
      <c r="E181" s="5">
        <v>3.7514699999999998E-3</v>
      </c>
      <c r="F181" s="5">
        <v>5.33593E-3</v>
      </c>
    </row>
    <row r="182" spans="1:13" x14ac:dyDescent="0.3">
      <c r="A182" s="15"/>
      <c r="B182" s="1" t="s">
        <v>12</v>
      </c>
      <c r="C182" s="1">
        <v>2614.5300000000002</v>
      </c>
      <c r="D182" s="4">
        <v>4.9189999999999998E-2</v>
      </c>
      <c r="E182" s="5">
        <v>2.2810999999999999E-3</v>
      </c>
      <c r="F182" s="6">
        <v>1.2922299999999999E-3</v>
      </c>
    </row>
    <row r="183" spans="1:13" x14ac:dyDescent="0.3">
      <c r="A183" s="15"/>
      <c r="B183" s="1"/>
      <c r="C183" s="1">
        <v>583.19000000000005</v>
      </c>
      <c r="D183" s="4">
        <v>0.14252999999999999</v>
      </c>
      <c r="E183" s="5">
        <v>4.19937E-3</v>
      </c>
      <c r="F183" s="5">
        <v>4.3057199999999999E-3</v>
      </c>
    </row>
    <row r="184" spans="1:13" x14ac:dyDescent="0.3">
      <c r="A184" s="15"/>
      <c r="B184" s="1"/>
      <c r="C184" s="1">
        <v>510.77</v>
      </c>
      <c r="D184" s="4">
        <v>6.3490000000000005E-2</v>
      </c>
      <c r="E184" s="5">
        <v>3.2726000000000001E-3</v>
      </c>
      <c r="F184" s="5">
        <v>4.8861199999999999E-3</v>
      </c>
    </row>
    <row r="185" spans="1:13" x14ac:dyDescent="0.3">
      <c r="A185" s="15"/>
      <c r="B185" s="1"/>
      <c r="C185" s="1">
        <v>860.56</v>
      </c>
      <c r="D185" s="4">
        <v>1.5859999999999999E-2</v>
      </c>
      <c r="E185" s="5">
        <v>1.7294000000000001E-3</v>
      </c>
      <c r="F185" s="6">
        <v>2.7943299999999998E-3</v>
      </c>
    </row>
    <row r="186" spans="1:13" x14ac:dyDescent="0.3">
      <c r="A186" s="21">
        <v>16</v>
      </c>
      <c r="B186" s="1" t="s">
        <v>7</v>
      </c>
      <c r="C186" s="1">
        <v>351.93</v>
      </c>
      <c r="D186" s="4">
        <v>8.9080000000000006E-2</v>
      </c>
      <c r="E186" s="5">
        <v>3.5263999999999998E-3</v>
      </c>
      <c r="F186" s="5">
        <v>4.4069399999999998E-3</v>
      </c>
      <c r="H186" s="21" t="s">
        <v>54</v>
      </c>
      <c r="I186" s="1" t="s">
        <v>7</v>
      </c>
      <c r="J186" s="1">
        <v>351.93</v>
      </c>
      <c r="K186" s="19" t="s">
        <v>57</v>
      </c>
      <c r="L186" s="5"/>
      <c r="M186" s="5"/>
    </row>
    <row r="187" spans="1:13" x14ac:dyDescent="0.3">
      <c r="A187" s="15" t="s">
        <v>12</v>
      </c>
      <c r="B187" s="1"/>
      <c r="C187" s="1">
        <v>295.22000000000003</v>
      </c>
      <c r="D187" s="4">
        <v>5.5109999999999999E-2</v>
      </c>
      <c r="E187" s="5">
        <v>3.42523E-3</v>
      </c>
      <c r="F187" s="5">
        <v>5.77598E-3</v>
      </c>
      <c r="H187" s="15" t="s">
        <v>12</v>
      </c>
      <c r="I187" s="1"/>
      <c r="J187" s="1">
        <v>295.22000000000003</v>
      </c>
      <c r="K187" s="18" t="s">
        <v>58</v>
      </c>
      <c r="L187" s="5"/>
      <c r="M187" s="5"/>
    </row>
    <row r="188" spans="1:13" x14ac:dyDescent="0.3">
      <c r="A188" s="15" t="s">
        <v>32</v>
      </c>
      <c r="B188" s="1" t="s">
        <v>8</v>
      </c>
      <c r="C188" s="1">
        <v>609.32000000000005</v>
      </c>
      <c r="D188" s="4">
        <v>6.132E-2</v>
      </c>
      <c r="E188" s="5">
        <v>2.8087300000000002E-3</v>
      </c>
      <c r="F188" s="5">
        <v>3.1142299999999999E-3</v>
      </c>
      <c r="H188" s="15" t="s">
        <v>32</v>
      </c>
      <c r="I188" s="1" t="s">
        <v>8</v>
      </c>
      <c r="J188" s="1">
        <v>609.32000000000005</v>
      </c>
      <c r="K188" s="4">
        <v>6.132E-2</v>
      </c>
      <c r="L188" s="5">
        <v>2.8087300000000002E-3</v>
      </c>
      <c r="M188" s="5">
        <v>3.1142299999999999E-3</v>
      </c>
    </row>
    <row r="189" spans="1:13" x14ac:dyDescent="0.3">
      <c r="A189" s="15" t="s">
        <v>33</v>
      </c>
      <c r="B189" s="1"/>
      <c r="C189" s="1">
        <v>1764.49</v>
      </c>
      <c r="D189" s="19" t="s">
        <v>55</v>
      </c>
      <c r="E189" s="5"/>
      <c r="F189" s="5"/>
      <c r="H189" s="15" t="s">
        <v>33</v>
      </c>
      <c r="I189" s="1"/>
      <c r="J189" s="1">
        <v>1764.49</v>
      </c>
      <c r="K189" s="19" t="s">
        <v>55</v>
      </c>
      <c r="L189" s="5"/>
      <c r="M189" s="5"/>
    </row>
    <row r="190" spans="1:13" x14ac:dyDescent="0.3">
      <c r="A190" s="15" t="s">
        <v>34</v>
      </c>
      <c r="B190" s="1"/>
      <c r="C190" s="1">
        <v>1120.29</v>
      </c>
      <c r="D190" s="4">
        <v>1.2200000000000001E-2</v>
      </c>
      <c r="E190" s="5">
        <v>1.43056E-3</v>
      </c>
      <c r="F190" s="5">
        <v>2.17856E-3</v>
      </c>
      <c r="H190" s="15" t="s">
        <v>34</v>
      </c>
      <c r="I190" s="1"/>
      <c r="J190" s="1">
        <v>1120.29</v>
      </c>
      <c r="K190" s="4"/>
      <c r="L190" s="5"/>
      <c r="M190" s="5"/>
    </row>
    <row r="191" spans="1:13" x14ac:dyDescent="0.3">
      <c r="A191" s="15"/>
      <c r="B191" s="1" t="s">
        <v>9</v>
      </c>
      <c r="C191" s="1">
        <v>1460.82</v>
      </c>
      <c r="D191" s="5">
        <v>6.18397033E-3</v>
      </c>
      <c r="E191" s="5">
        <v>1.10778E-3</v>
      </c>
      <c r="F191" s="6">
        <v>1.83172E-3</v>
      </c>
      <c r="H191" s="15"/>
      <c r="I191" s="1" t="s">
        <v>9</v>
      </c>
      <c r="J191" s="1">
        <v>1460.82</v>
      </c>
      <c r="K191" s="5">
        <v>6.18397033E-3</v>
      </c>
      <c r="L191" s="5">
        <v>1.10778E-3</v>
      </c>
      <c r="M191" s="6">
        <v>1.83172E-3</v>
      </c>
    </row>
    <row r="192" spans="1:13" x14ac:dyDescent="0.3">
      <c r="A192" s="15"/>
      <c r="B192" s="1" t="s">
        <v>10</v>
      </c>
      <c r="C192" s="1">
        <v>238.63</v>
      </c>
      <c r="D192" s="4">
        <v>0.17946000000000001</v>
      </c>
      <c r="E192" s="5">
        <v>5.0819300000000001E-3</v>
      </c>
      <c r="F192" s="5">
        <v>6.4757599999999997E-3</v>
      </c>
      <c r="H192" s="15"/>
      <c r="I192" s="1" t="s">
        <v>10</v>
      </c>
      <c r="J192" s="1">
        <v>238.63</v>
      </c>
      <c r="K192" s="4"/>
      <c r="L192" s="5"/>
      <c r="M192" s="5"/>
    </row>
    <row r="193" spans="1:13" x14ac:dyDescent="0.3">
      <c r="A193" s="15"/>
      <c r="B193" s="1" t="s">
        <v>11</v>
      </c>
      <c r="C193" s="1">
        <v>911.21</v>
      </c>
      <c r="D193" s="4">
        <v>3.3410000000000002E-2</v>
      </c>
      <c r="E193" s="5">
        <v>2.0698800000000001E-3</v>
      </c>
      <c r="F193" s="5">
        <v>2.19981E-3</v>
      </c>
      <c r="H193" s="15"/>
      <c r="I193" s="1" t="s">
        <v>11</v>
      </c>
      <c r="J193" s="1">
        <v>911.21</v>
      </c>
      <c r="K193" s="4">
        <v>3.3410000000000002E-2</v>
      </c>
      <c r="L193" s="5">
        <v>2.0698800000000001E-3</v>
      </c>
      <c r="M193" s="5">
        <v>2.19981E-3</v>
      </c>
    </row>
    <row r="194" spans="1:13" x14ac:dyDescent="0.3">
      <c r="A194" s="15"/>
      <c r="B194" s="1"/>
      <c r="C194" s="1">
        <v>968.97</v>
      </c>
      <c r="D194" s="4">
        <v>1.3520000000000001E-2</v>
      </c>
      <c r="E194" s="5">
        <v>1.63922E-3</v>
      </c>
      <c r="F194" s="5">
        <v>2.7116200000000001E-3</v>
      </c>
      <c r="H194" s="15"/>
      <c r="I194" s="1"/>
      <c r="J194" s="1">
        <v>968.97</v>
      </c>
      <c r="K194" s="4">
        <v>1.3520000000000001E-2</v>
      </c>
      <c r="L194" s="5">
        <v>1.63922E-3</v>
      </c>
      <c r="M194" s="5">
        <v>2.7116200000000001E-3</v>
      </c>
    </row>
    <row r="195" spans="1:13" x14ac:dyDescent="0.3">
      <c r="A195" s="15"/>
      <c r="B195" s="1"/>
      <c r="C195" s="1">
        <v>338.32</v>
      </c>
      <c r="D195" s="4">
        <v>2.9590000000000002E-2</v>
      </c>
      <c r="E195" s="5">
        <v>2.444E-3</v>
      </c>
      <c r="F195" s="5">
        <v>4.0412699999999996E-3</v>
      </c>
      <c r="H195" s="15"/>
      <c r="I195" s="1"/>
      <c r="J195" s="1">
        <v>338.32</v>
      </c>
      <c r="K195" s="4">
        <v>2.9590000000000002E-2</v>
      </c>
      <c r="L195" s="5">
        <v>2.444E-3</v>
      </c>
      <c r="M195" s="5">
        <v>4.0412699999999996E-3</v>
      </c>
    </row>
    <row r="196" spans="1:13" x14ac:dyDescent="0.3">
      <c r="A196" s="15"/>
      <c r="B196" s="1" t="s">
        <v>12</v>
      </c>
      <c r="C196" s="1">
        <v>2614.5300000000002</v>
      </c>
      <c r="D196" s="4">
        <v>0</v>
      </c>
      <c r="E196" s="5">
        <v>0</v>
      </c>
      <c r="F196" s="5">
        <v>0</v>
      </c>
      <c r="H196" s="15"/>
      <c r="I196" s="1" t="s">
        <v>12</v>
      </c>
      <c r="J196" s="1">
        <v>2614.5300000000002</v>
      </c>
      <c r="K196" s="18" t="s">
        <v>59</v>
      </c>
      <c r="L196" s="5"/>
      <c r="M196" s="5"/>
    </row>
    <row r="197" spans="1:13" x14ac:dyDescent="0.3">
      <c r="A197" s="15"/>
      <c r="B197" s="1"/>
      <c r="C197" s="1">
        <v>583.19000000000005</v>
      </c>
      <c r="D197" s="4">
        <v>5.364E-2</v>
      </c>
      <c r="E197" s="5">
        <v>2.6927600000000002E-3</v>
      </c>
      <c r="F197" s="5">
        <v>3.23187E-3</v>
      </c>
      <c r="H197" s="15"/>
      <c r="I197" s="1"/>
      <c r="J197" s="1">
        <v>583.19000000000005</v>
      </c>
      <c r="K197" s="4">
        <v>5.364E-2</v>
      </c>
      <c r="L197" s="5">
        <v>2.6927600000000002E-3</v>
      </c>
      <c r="M197" s="5">
        <v>3.23187E-3</v>
      </c>
    </row>
    <row r="198" spans="1:13" x14ac:dyDescent="0.3">
      <c r="A198" s="15"/>
      <c r="B198" s="1"/>
      <c r="C198" s="1">
        <v>510.77</v>
      </c>
      <c r="D198" s="4">
        <v>3.406E-2</v>
      </c>
      <c r="E198" s="5">
        <v>2.48869E-3</v>
      </c>
      <c r="F198" s="5">
        <v>3.9120500000000002E-3</v>
      </c>
      <c r="H198" s="15"/>
      <c r="I198" s="1"/>
      <c r="J198" s="1">
        <v>510.77</v>
      </c>
      <c r="K198" s="4">
        <v>3.406E-2</v>
      </c>
      <c r="L198" s="5">
        <v>2.48869E-3</v>
      </c>
      <c r="M198" s="5">
        <v>3.9120500000000002E-3</v>
      </c>
    </row>
    <row r="199" spans="1:13" x14ac:dyDescent="0.3">
      <c r="A199" s="15"/>
      <c r="B199" s="1"/>
      <c r="C199" s="1">
        <v>860.56</v>
      </c>
      <c r="D199" s="18" t="s">
        <v>56</v>
      </c>
      <c r="E199" s="5"/>
      <c r="F199" s="5"/>
      <c r="H199" s="15"/>
      <c r="I199" s="1"/>
      <c r="J199" s="1">
        <v>860.56</v>
      </c>
      <c r="K199" s="19" t="s">
        <v>56</v>
      </c>
      <c r="L199" s="5"/>
      <c r="M199" s="5"/>
    </row>
    <row r="200" spans="1:13" x14ac:dyDescent="0.3">
      <c r="A200" s="21">
        <v>18</v>
      </c>
      <c r="B200" s="1" t="s">
        <v>7</v>
      </c>
      <c r="C200" s="1">
        <v>351.93</v>
      </c>
      <c r="D200" s="4">
        <v>0.15054000000000001</v>
      </c>
      <c r="E200" s="5">
        <v>4.44153E-3</v>
      </c>
      <c r="F200" s="5">
        <v>4.9772200000000001E-3</v>
      </c>
      <c r="H200" s="21">
        <v>18</v>
      </c>
      <c r="I200" s="1" t="s">
        <v>7</v>
      </c>
      <c r="J200" s="1">
        <v>351.93</v>
      </c>
      <c r="K200" s="4">
        <v>0.15054000000000001</v>
      </c>
      <c r="L200" s="5">
        <v>4.44153E-3</v>
      </c>
      <c r="M200" s="5">
        <v>4.9772200000000001E-3</v>
      </c>
    </row>
    <row r="201" spans="1:13" x14ac:dyDescent="0.3">
      <c r="A201" s="15" t="s">
        <v>12</v>
      </c>
      <c r="B201" s="1"/>
      <c r="C201" s="1">
        <v>295.22000000000003</v>
      </c>
      <c r="D201" s="18" t="s">
        <v>60</v>
      </c>
      <c r="E201" s="5"/>
      <c r="F201" s="5"/>
      <c r="H201" s="15" t="s">
        <v>12</v>
      </c>
      <c r="I201" s="1"/>
      <c r="J201" s="1">
        <v>295.22000000000003</v>
      </c>
      <c r="K201" s="4"/>
      <c r="L201" s="5"/>
      <c r="M201" s="5"/>
    </row>
    <row r="202" spans="1:13" x14ac:dyDescent="0.3">
      <c r="A202" s="15">
        <v>351</v>
      </c>
      <c r="B202" s="1" t="s">
        <v>8</v>
      </c>
      <c r="C202" s="1">
        <v>609.32000000000005</v>
      </c>
      <c r="D202" s="4">
        <v>0.10206</v>
      </c>
      <c r="E202" s="5">
        <v>3.6452500000000001E-3</v>
      </c>
      <c r="F202" s="5">
        <v>4.1193799999999997E-3</v>
      </c>
      <c r="H202" s="15">
        <v>351</v>
      </c>
      <c r="I202" s="1" t="s">
        <v>8</v>
      </c>
      <c r="J202" s="1">
        <v>609.32000000000005</v>
      </c>
      <c r="K202" s="4">
        <v>0.10206</v>
      </c>
      <c r="L202" s="5">
        <v>3.6452500000000001E-3</v>
      </c>
      <c r="M202" s="5">
        <v>4.1193799999999997E-3</v>
      </c>
    </row>
    <row r="203" spans="1:13" x14ac:dyDescent="0.3">
      <c r="A203" s="15" t="s">
        <v>28</v>
      </c>
      <c r="B203" s="1"/>
      <c r="C203" s="1">
        <v>1764.49</v>
      </c>
      <c r="D203" s="4">
        <v>1.636E-2</v>
      </c>
      <c r="E203" s="5">
        <v>1.4688399999999999E-3</v>
      </c>
      <c r="F203" s="5">
        <v>1.70991E-3</v>
      </c>
      <c r="H203" s="15" t="s">
        <v>28</v>
      </c>
      <c r="I203" s="1"/>
      <c r="J203" s="1">
        <v>1764.49</v>
      </c>
      <c r="K203" s="4">
        <v>1.636E-2</v>
      </c>
      <c r="L203" s="5">
        <v>1.4688399999999999E-3</v>
      </c>
      <c r="M203" s="5">
        <v>1.70991E-3</v>
      </c>
    </row>
    <row r="204" spans="1:13" x14ac:dyDescent="0.3">
      <c r="A204" s="15" t="s">
        <v>30</v>
      </c>
      <c r="B204" s="1"/>
      <c r="C204" s="1">
        <v>1120.29</v>
      </c>
      <c r="D204" s="4">
        <v>2.0889999999999999E-2</v>
      </c>
      <c r="E204" s="5">
        <v>1.7983700000000001E-3</v>
      </c>
      <c r="F204" s="5">
        <v>2.4890300000000001E-3</v>
      </c>
      <c r="H204" s="15" t="s">
        <v>30</v>
      </c>
      <c r="I204" s="1"/>
      <c r="J204" s="1">
        <v>1120.29</v>
      </c>
      <c r="K204" s="4"/>
      <c r="L204" s="5"/>
      <c r="M204" s="5"/>
    </row>
    <row r="205" spans="1:13" x14ac:dyDescent="0.3">
      <c r="A205" s="15" t="s">
        <v>31</v>
      </c>
      <c r="B205" s="1" t="s">
        <v>9</v>
      </c>
      <c r="C205" s="1">
        <v>1460.82</v>
      </c>
      <c r="D205" s="18" t="s">
        <v>61</v>
      </c>
      <c r="E205" s="5"/>
      <c r="F205" s="5"/>
      <c r="H205" s="15" t="s">
        <v>31</v>
      </c>
      <c r="I205" s="1" t="s">
        <v>9</v>
      </c>
      <c r="J205" s="1">
        <v>1460.82</v>
      </c>
      <c r="K205" s="18" t="s">
        <v>61</v>
      </c>
      <c r="L205" s="5"/>
      <c r="M205" s="5"/>
    </row>
    <row r="206" spans="1:13" x14ac:dyDescent="0.3">
      <c r="A206" s="15"/>
      <c r="B206" s="1" t="s">
        <v>10</v>
      </c>
      <c r="C206" s="1">
        <v>238.63</v>
      </c>
      <c r="D206" s="4">
        <v>0.47765999999999997</v>
      </c>
      <c r="E206" s="5">
        <v>7.9113499999999993E-3</v>
      </c>
      <c r="F206" s="5">
        <v>8.9643499999999994E-3</v>
      </c>
      <c r="H206" s="15"/>
      <c r="I206" s="1" t="s">
        <v>10</v>
      </c>
      <c r="J206" s="1">
        <v>238.63</v>
      </c>
      <c r="K206" s="4"/>
      <c r="L206" s="5"/>
      <c r="M206" s="5"/>
    </row>
    <row r="207" spans="1:13" x14ac:dyDescent="0.3">
      <c r="A207" s="15"/>
      <c r="B207" s="1" t="s">
        <v>11</v>
      </c>
      <c r="C207" s="1">
        <v>911.21</v>
      </c>
      <c r="D207" s="4">
        <v>8.5730000000000001E-2</v>
      </c>
      <c r="E207" s="5">
        <v>3.1718200000000001E-3</v>
      </c>
      <c r="F207" s="5">
        <v>2.8810300000000001E-3</v>
      </c>
      <c r="H207" s="15"/>
      <c r="I207" s="1" t="s">
        <v>11</v>
      </c>
      <c r="J207" s="1">
        <v>911.21</v>
      </c>
      <c r="K207" s="4">
        <v>8.5730000000000001E-2</v>
      </c>
      <c r="L207" s="5">
        <v>3.1718200000000001E-3</v>
      </c>
      <c r="M207" s="5">
        <v>2.8810300000000001E-3</v>
      </c>
    </row>
    <row r="208" spans="1:13" x14ac:dyDescent="0.3">
      <c r="A208" s="15"/>
      <c r="B208" s="1"/>
      <c r="C208" s="1">
        <v>968.97</v>
      </c>
      <c r="D208" s="4">
        <v>4.7320000000000001E-2</v>
      </c>
      <c r="E208" s="5">
        <v>2.5807999999999998E-3</v>
      </c>
      <c r="F208" s="5">
        <v>3.2609599999999998E-3</v>
      </c>
      <c r="H208" s="15"/>
      <c r="I208" s="1"/>
      <c r="J208" s="1">
        <v>968.97</v>
      </c>
      <c r="K208" s="4">
        <v>4.7320000000000001E-2</v>
      </c>
      <c r="L208" s="5">
        <v>2.5807999999999998E-3</v>
      </c>
      <c r="M208" s="5">
        <v>3.2609599999999998E-3</v>
      </c>
    </row>
    <row r="209" spans="1:13" x14ac:dyDescent="0.3">
      <c r="A209" s="15"/>
      <c r="B209" s="1"/>
      <c r="C209" s="1">
        <v>338.32</v>
      </c>
      <c r="D209" s="4">
        <v>8.1869999999999998E-2</v>
      </c>
      <c r="E209" s="5">
        <v>3.7394799999999999E-3</v>
      </c>
      <c r="F209" s="5">
        <v>5.6136800000000002E-3</v>
      </c>
      <c r="H209" s="15"/>
      <c r="I209" s="1"/>
      <c r="J209" s="1">
        <v>338.32</v>
      </c>
      <c r="K209" s="4">
        <v>8.1869999999999998E-2</v>
      </c>
      <c r="L209" s="5">
        <v>3.7394799999999999E-3</v>
      </c>
      <c r="M209" s="5">
        <v>5.6136800000000002E-3</v>
      </c>
    </row>
    <row r="210" spans="1:13" x14ac:dyDescent="0.3">
      <c r="A210" s="15"/>
      <c r="B210" s="1" t="s">
        <v>12</v>
      </c>
      <c r="C210" s="1">
        <v>2614.5300000000002</v>
      </c>
      <c r="D210" s="4"/>
      <c r="E210" s="5"/>
      <c r="F210" s="5"/>
      <c r="H210" s="15"/>
      <c r="I210" s="1" t="s">
        <v>12</v>
      </c>
      <c r="J210" s="1">
        <v>2614.5300000000002</v>
      </c>
      <c r="K210" s="4">
        <v>4.5440000000000001E-2</v>
      </c>
      <c r="L210" s="5">
        <v>2.2050199999999998E-3</v>
      </c>
      <c r="M210" s="5">
        <v>1.31774E-3</v>
      </c>
    </row>
    <row r="211" spans="1:13" x14ac:dyDescent="0.3">
      <c r="A211" s="15"/>
      <c r="B211" s="1"/>
      <c r="C211" s="1">
        <v>583.19000000000005</v>
      </c>
      <c r="D211" s="4">
        <v>0.13012000000000001</v>
      </c>
      <c r="E211" s="5">
        <v>4.0830500000000004E-3</v>
      </c>
      <c r="F211" s="5">
        <v>4.3761700000000004E-3</v>
      </c>
      <c r="H211" s="15"/>
      <c r="I211" s="1"/>
      <c r="J211" s="1">
        <v>583.19000000000005</v>
      </c>
      <c r="K211" s="4">
        <v>0.13012000000000001</v>
      </c>
      <c r="L211" s="5">
        <v>4.0830500000000004E-3</v>
      </c>
      <c r="M211" s="5">
        <v>4.3761700000000004E-3</v>
      </c>
    </row>
    <row r="212" spans="1:13" x14ac:dyDescent="0.3">
      <c r="A212" s="15"/>
      <c r="B212" s="1"/>
      <c r="C212" s="1">
        <v>510.77</v>
      </c>
      <c r="D212" s="4">
        <v>6.0999999999999999E-2</v>
      </c>
      <c r="E212" s="5">
        <v>3.1537800000000001E-3</v>
      </c>
      <c r="F212" s="5">
        <v>4.5626499999999997E-3</v>
      </c>
      <c r="H212" s="15"/>
      <c r="I212" s="1"/>
      <c r="J212" s="1">
        <v>510.77</v>
      </c>
      <c r="K212" s="4">
        <v>6.0999999999999999E-2</v>
      </c>
      <c r="L212" s="5">
        <v>3.1537800000000001E-3</v>
      </c>
      <c r="M212" s="5">
        <v>4.5626499999999997E-3</v>
      </c>
    </row>
    <row r="213" spans="1:13" x14ac:dyDescent="0.3">
      <c r="A213" s="15"/>
      <c r="B213" s="1"/>
      <c r="C213" s="1">
        <v>860.56</v>
      </c>
      <c r="D213" s="4">
        <v>1.3809999999999999E-2</v>
      </c>
      <c r="E213" s="5">
        <v>1.71901E-3</v>
      </c>
      <c r="F213" s="5">
        <v>2.9659199999999999E-3</v>
      </c>
      <c r="H213" s="15"/>
      <c r="I213" s="1"/>
      <c r="J213" s="1">
        <v>860.56</v>
      </c>
      <c r="K213" s="4">
        <v>1.3809999999999999E-2</v>
      </c>
      <c r="L213" s="5">
        <v>1.71901E-3</v>
      </c>
      <c r="M213" s="5">
        <v>2.9659199999999999E-3</v>
      </c>
    </row>
    <row r="214" spans="1:13" x14ac:dyDescent="0.3">
      <c r="A214" s="21">
        <v>19</v>
      </c>
      <c r="B214" s="1" t="s">
        <v>7</v>
      </c>
      <c r="C214" s="1">
        <v>351.93</v>
      </c>
      <c r="D214" s="4">
        <v>0.28172999999999998</v>
      </c>
      <c r="E214" s="5">
        <v>6.2843300000000003E-3</v>
      </c>
      <c r="F214" s="5">
        <v>7.8311700000000001E-3</v>
      </c>
      <c r="H214" s="21">
        <v>19</v>
      </c>
      <c r="I214" s="1" t="s">
        <v>7</v>
      </c>
      <c r="J214" s="1">
        <v>351.93</v>
      </c>
      <c r="K214" s="4"/>
      <c r="L214" s="5"/>
      <c r="M214" s="5"/>
    </row>
    <row r="215" spans="1:13" x14ac:dyDescent="0.3">
      <c r="A215" s="15" t="s">
        <v>12</v>
      </c>
      <c r="B215" s="1"/>
      <c r="C215" s="1">
        <v>295.22000000000003</v>
      </c>
      <c r="D215" s="4">
        <v>0.16786999999999999</v>
      </c>
      <c r="E215" s="5">
        <v>5.7942899999999997E-3</v>
      </c>
      <c r="F215" s="5">
        <v>9.38867E-3</v>
      </c>
      <c r="H215" s="15" t="s">
        <v>12</v>
      </c>
      <c r="I215" s="1"/>
      <c r="J215" s="1">
        <v>295.22000000000003</v>
      </c>
      <c r="K215" s="4"/>
      <c r="L215" s="5"/>
      <c r="M215" s="5"/>
    </row>
    <row r="216" spans="1:13" x14ac:dyDescent="0.3">
      <c r="A216" s="15" t="s">
        <v>28</v>
      </c>
      <c r="B216" s="1" t="s">
        <v>8</v>
      </c>
      <c r="C216" s="1">
        <v>609.32000000000005</v>
      </c>
      <c r="D216" s="4">
        <v>0.19653000000000001</v>
      </c>
      <c r="E216" s="5">
        <v>4.9661200000000001E-3</v>
      </c>
      <c r="F216" s="5">
        <v>5.2509200000000001E-3</v>
      </c>
      <c r="H216" s="15" t="s">
        <v>28</v>
      </c>
      <c r="I216" s="1" t="s">
        <v>8</v>
      </c>
      <c r="J216" s="1">
        <v>609.32000000000005</v>
      </c>
      <c r="K216" s="4">
        <v>0.19653000000000001</v>
      </c>
      <c r="L216" s="5">
        <v>4.9661200000000001E-3</v>
      </c>
      <c r="M216" s="5">
        <v>5.2509200000000001E-3</v>
      </c>
    </row>
    <row r="217" spans="1:13" x14ac:dyDescent="0.3">
      <c r="A217" s="15" t="s">
        <v>29</v>
      </c>
      <c r="B217" s="1"/>
      <c r="C217" s="1">
        <v>1764.49</v>
      </c>
      <c r="D217" s="4">
        <v>3.1189999999999999E-2</v>
      </c>
      <c r="E217" s="5">
        <v>1.9596700000000002E-3</v>
      </c>
      <c r="F217" s="5">
        <v>1.99775E-3</v>
      </c>
      <c r="H217" s="15" t="s">
        <v>29</v>
      </c>
      <c r="I217" s="1"/>
      <c r="J217" s="1">
        <v>1764.49</v>
      </c>
      <c r="K217" s="19" t="s">
        <v>65</v>
      </c>
      <c r="L217" s="5"/>
      <c r="M217" s="5"/>
    </row>
    <row r="218" spans="1:13" x14ac:dyDescent="0.3">
      <c r="A218" s="15" t="s">
        <v>23</v>
      </c>
      <c r="B218" s="1"/>
      <c r="C218" s="1">
        <v>1120.29</v>
      </c>
      <c r="D218" s="4">
        <v>3.9010000000000003E-2</v>
      </c>
      <c r="E218" s="5">
        <v>2.30912E-3</v>
      </c>
      <c r="F218" s="5">
        <v>2.8202600000000002E-3</v>
      </c>
      <c r="H218" s="15" t="s">
        <v>23</v>
      </c>
      <c r="I218" s="1"/>
      <c r="J218" s="1">
        <v>1120.29</v>
      </c>
      <c r="K218" s="4"/>
      <c r="L218" s="5"/>
      <c r="M218" s="5"/>
    </row>
    <row r="219" spans="1:13" x14ac:dyDescent="0.3">
      <c r="A219" s="15"/>
      <c r="B219" s="1" t="s">
        <v>9</v>
      </c>
      <c r="C219" s="1">
        <v>1460.82</v>
      </c>
      <c r="D219" s="4">
        <v>1.6500000000000001E-2</v>
      </c>
      <c r="E219" s="5">
        <v>1.64123E-3</v>
      </c>
      <c r="F219" s="5">
        <v>2.4171800000000001E-3</v>
      </c>
      <c r="H219" s="15"/>
      <c r="I219" s="1" t="s">
        <v>9</v>
      </c>
      <c r="J219" s="1">
        <v>1460.82</v>
      </c>
      <c r="K219" s="4">
        <v>1.6500000000000001E-2</v>
      </c>
      <c r="L219" s="5">
        <v>1.64123E-3</v>
      </c>
      <c r="M219" s="5">
        <v>2.4171800000000001E-3</v>
      </c>
    </row>
    <row r="220" spans="1:13" x14ac:dyDescent="0.3">
      <c r="A220" s="15"/>
      <c r="B220" s="1" t="s">
        <v>10</v>
      </c>
      <c r="C220" s="1">
        <v>238.63</v>
      </c>
      <c r="D220" s="19" t="s">
        <v>62</v>
      </c>
      <c r="E220" s="4"/>
      <c r="F220" s="4"/>
      <c r="H220" s="15"/>
      <c r="I220" s="1" t="s">
        <v>10</v>
      </c>
      <c r="J220" s="1">
        <v>238.63</v>
      </c>
      <c r="K220" s="4"/>
      <c r="L220" s="4"/>
      <c r="M220" s="4"/>
    </row>
    <row r="221" spans="1:13" x14ac:dyDescent="0.3">
      <c r="A221" s="15"/>
      <c r="B221" s="1" t="s">
        <v>11</v>
      </c>
      <c r="C221" s="1">
        <v>911.21</v>
      </c>
      <c r="D221" s="18" t="s">
        <v>63</v>
      </c>
      <c r="E221" s="5"/>
      <c r="F221" s="5"/>
      <c r="H221" s="15"/>
      <c r="I221" s="1" t="s">
        <v>11</v>
      </c>
      <c r="J221" s="1">
        <v>911.21</v>
      </c>
      <c r="K221" s="18" t="s">
        <v>63</v>
      </c>
      <c r="L221" s="5"/>
      <c r="M221" s="5"/>
    </row>
    <row r="222" spans="1:13" x14ac:dyDescent="0.3">
      <c r="A222" s="15"/>
      <c r="B222" s="1"/>
      <c r="C222" s="1">
        <v>968.97</v>
      </c>
      <c r="D222" s="4">
        <v>0.11061</v>
      </c>
      <c r="E222" s="5">
        <v>3.7268100000000001E-3</v>
      </c>
      <c r="F222" s="5">
        <v>3.9639100000000002E-3</v>
      </c>
      <c r="H222" s="15"/>
      <c r="I222" s="1"/>
      <c r="J222" s="1">
        <v>968.97</v>
      </c>
      <c r="K222" s="4">
        <v>0.11061</v>
      </c>
      <c r="L222" s="5">
        <v>3.7268100000000001E-3</v>
      </c>
      <c r="M222" s="5">
        <v>3.9639100000000002E-3</v>
      </c>
    </row>
    <row r="223" spans="1:13" x14ac:dyDescent="0.3">
      <c r="A223" s="15"/>
      <c r="B223" s="1"/>
      <c r="C223" s="1">
        <v>338.32</v>
      </c>
      <c r="D223" s="4">
        <v>0.18970000000000001</v>
      </c>
      <c r="E223" s="5">
        <v>5.7201700000000001E-3</v>
      </c>
      <c r="F223" s="5">
        <v>8.4807700000000003E-3</v>
      </c>
      <c r="H223" s="15"/>
      <c r="I223" s="1"/>
      <c r="J223" s="1">
        <v>338.32</v>
      </c>
      <c r="K223" s="4">
        <v>0.18970000000000001</v>
      </c>
      <c r="L223" s="5">
        <v>5.7201700000000001E-3</v>
      </c>
      <c r="M223" s="5">
        <v>8.4807700000000003E-3</v>
      </c>
    </row>
    <row r="224" spans="1:13" x14ac:dyDescent="0.3">
      <c r="A224" s="15"/>
      <c r="B224" s="1" t="s">
        <v>12</v>
      </c>
      <c r="C224" s="1">
        <v>2614.5300000000002</v>
      </c>
      <c r="D224" s="4">
        <v>0</v>
      </c>
      <c r="E224" s="5">
        <v>0</v>
      </c>
      <c r="F224" s="5">
        <v>0</v>
      </c>
      <c r="H224" s="15"/>
      <c r="I224" s="1" t="s">
        <v>12</v>
      </c>
      <c r="J224" s="1">
        <v>2614.5300000000002</v>
      </c>
      <c r="K224" s="18" t="s">
        <v>66</v>
      </c>
      <c r="L224" s="5"/>
      <c r="M224" s="5"/>
    </row>
    <row r="225" spans="1:13" x14ac:dyDescent="0.3">
      <c r="A225" s="15"/>
      <c r="B225" s="1"/>
      <c r="C225" s="1">
        <v>583.19000000000005</v>
      </c>
      <c r="D225" s="4">
        <v>0.29579</v>
      </c>
      <c r="E225" s="5">
        <v>5.9711599999999997E-3</v>
      </c>
      <c r="F225" s="5">
        <v>5.7482599999999998E-3</v>
      </c>
      <c r="H225" s="15"/>
      <c r="I225" s="1"/>
      <c r="J225" s="1">
        <v>583.19000000000005</v>
      </c>
      <c r="K225" s="4">
        <v>0.29579</v>
      </c>
      <c r="L225" s="5">
        <v>5.9711599999999997E-3</v>
      </c>
      <c r="M225" s="5">
        <v>5.7482599999999998E-3</v>
      </c>
    </row>
    <row r="226" spans="1:13" x14ac:dyDescent="0.3">
      <c r="A226" s="15"/>
      <c r="B226" s="1"/>
      <c r="C226" s="1">
        <v>510.77</v>
      </c>
      <c r="D226" s="19" t="s">
        <v>64</v>
      </c>
      <c r="E226" s="5"/>
      <c r="F226" s="5"/>
      <c r="H226" s="15"/>
      <c r="I226" s="1"/>
      <c r="J226" s="1">
        <v>510.77</v>
      </c>
      <c r="K226" s="19" t="s">
        <v>64</v>
      </c>
      <c r="L226" s="5"/>
      <c r="M226" s="5"/>
    </row>
    <row r="227" spans="1:13" x14ac:dyDescent="0.3">
      <c r="A227" s="15"/>
      <c r="B227" s="1"/>
      <c r="C227" s="1">
        <v>860.56</v>
      </c>
      <c r="D227" s="4">
        <v>3.1309999999999998E-2</v>
      </c>
      <c r="E227" s="5">
        <v>2.3140399999999998E-3</v>
      </c>
      <c r="F227" s="5">
        <v>3.3713300000000001E-3</v>
      </c>
      <c r="H227" s="15"/>
      <c r="I227" s="1"/>
      <c r="J227" s="1">
        <v>860.56</v>
      </c>
      <c r="K227" s="4">
        <v>3.1309999999999998E-2</v>
      </c>
      <c r="L227" s="5">
        <v>2.3140399999999998E-3</v>
      </c>
      <c r="M227" s="5">
        <v>3.3713300000000001E-3</v>
      </c>
    </row>
    <row r="228" spans="1:13" x14ac:dyDescent="0.3">
      <c r="A228" s="15">
        <v>20</v>
      </c>
      <c r="B228" s="1" t="s">
        <v>7</v>
      </c>
      <c r="C228" s="1">
        <v>351.93</v>
      </c>
      <c r="D228" s="4">
        <v>0.13000999999999999</v>
      </c>
      <c r="E228" s="5">
        <v>4.2511900000000002E-3</v>
      </c>
      <c r="F228" s="5">
        <v>5.2291200000000003E-3</v>
      </c>
    </row>
    <row r="229" spans="1:13" x14ac:dyDescent="0.3">
      <c r="A229" s="15"/>
      <c r="B229" s="1"/>
      <c r="C229" s="1">
        <v>295.22000000000003</v>
      </c>
      <c r="D229" s="4">
        <v>7.9460000000000003E-2</v>
      </c>
      <c r="E229" s="5">
        <v>4.2314900000000001E-3</v>
      </c>
      <c r="F229" s="5">
        <v>7.3317699999999996E-3</v>
      </c>
    </row>
    <row r="230" spans="1:13" x14ac:dyDescent="0.3">
      <c r="A230" s="15"/>
      <c r="B230" s="1" t="s">
        <v>8</v>
      </c>
      <c r="C230" s="1">
        <v>609.32000000000005</v>
      </c>
      <c r="D230" s="4">
        <v>9.3380000000000005E-2</v>
      </c>
      <c r="E230" s="5">
        <v>3.4376200000000002E-3</v>
      </c>
      <c r="F230" s="5">
        <v>3.6104499999999999E-3</v>
      </c>
    </row>
    <row r="231" spans="1:13" x14ac:dyDescent="0.3">
      <c r="A231" s="15"/>
      <c r="B231" s="1"/>
      <c r="C231" s="1">
        <v>1764.49</v>
      </c>
      <c r="D231" s="4">
        <v>1.4749999999999999E-2</v>
      </c>
      <c r="E231" s="5">
        <v>1.3650699999999999E-3</v>
      </c>
      <c r="F231" s="5">
        <v>1.51581E-3</v>
      </c>
    </row>
    <row r="232" spans="1:13" x14ac:dyDescent="0.3">
      <c r="A232" s="15"/>
      <c r="B232" s="1"/>
      <c r="C232" s="1">
        <v>1120.29</v>
      </c>
      <c r="D232" s="4">
        <v>1.721E-2</v>
      </c>
      <c r="E232" s="5">
        <v>1.6538E-3</v>
      </c>
      <c r="F232" s="7">
        <v>2.3677099999999999E-3</v>
      </c>
    </row>
    <row r="233" spans="1:13" x14ac:dyDescent="0.3">
      <c r="A233" s="15"/>
      <c r="B233" s="1" t="s">
        <v>9</v>
      </c>
      <c r="C233" s="1">
        <v>1460.82</v>
      </c>
      <c r="D233" s="5">
        <v>9.49191284E-3</v>
      </c>
      <c r="E233" s="5">
        <v>1.26223E-3</v>
      </c>
      <c r="F233" s="5">
        <v>1.8957500000000001E-3</v>
      </c>
    </row>
    <row r="234" spans="1:13" x14ac:dyDescent="0.3">
      <c r="A234" s="15"/>
      <c r="B234" s="1" t="s">
        <v>10</v>
      </c>
      <c r="C234" s="1">
        <v>238.63</v>
      </c>
      <c r="D234" s="4">
        <v>0.42687000000000003</v>
      </c>
      <c r="E234" s="5">
        <v>7.4739300000000002E-3</v>
      </c>
      <c r="F234" s="5">
        <v>8.4754099999999992E-3</v>
      </c>
    </row>
    <row r="235" spans="1:13" x14ac:dyDescent="0.3">
      <c r="A235" s="15"/>
      <c r="B235" s="1" t="s">
        <v>11</v>
      </c>
      <c r="C235" s="1">
        <v>911.21</v>
      </c>
      <c r="D235" s="1">
        <v>7.5020000000000003E-2</v>
      </c>
      <c r="E235" s="5">
        <v>2.9868500000000001E-3</v>
      </c>
      <c r="F235" s="6">
        <v>2.8058900000000001E-3</v>
      </c>
    </row>
    <row r="236" spans="1:13" x14ac:dyDescent="0.3">
      <c r="A236" s="15"/>
      <c r="B236" s="1"/>
      <c r="C236" s="1">
        <v>968.97</v>
      </c>
      <c r="D236" s="4">
        <v>4.367E-2</v>
      </c>
      <c r="E236" s="5">
        <v>2.4686600000000001E-3</v>
      </c>
      <c r="F236" s="5">
        <v>3.1097899999999999E-3</v>
      </c>
    </row>
    <row r="237" spans="1:13" x14ac:dyDescent="0.3">
      <c r="A237" s="15"/>
      <c r="B237" s="1"/>
      <c r="C237" s="1">
        <v>338.32</v>
      </c>
      <c r="D237" s="4">
        <v>7.6660000000000006E-2</v>
      </c>
      <c r="E237" s="5">
        <v>3.5753099999999999E-3</v>
      </c>
      <c r="F237" s="5">
        <v>5.2959699999999997E-3</v>
      </c>
    </row>
    <row r="238" spans="1:13" x14ac:dyDescent="0.3">
      <c r="A238" s="15"/>
      <c r="B238" s="1" t="s">
        <v>12</v>
      </c>
      <c r="C238" s="1">
        <v>2614.5300000000002</v>
      </c>
      <c r="D238" s="4">
        <v>4.3700000000000003E-2</v>
      </c>
      <c r="E238" s="5">
        <v>2.1492999999999998E-3</v>
      </c>
      <c r="F238" s="5">
        <v>1.18939E-3</v>
      </c>
    </row>
    <row r="239" spans="1:13" x14ac:dyDescent="0.3">
      <c r="A239" s="15"/>
      <c r="B239" s="1"/>
      <c r="C239" s="1">
        <v>583.19000000000005</v>
      </c>
      <c r="D239" s="4">
        <v>0.11695</v>
      </c>
      <c r="E239" s="5">
        <v>3.81752E-3</v>
      </c>
      <c r="F239" s="5">
        <v>3.96043E-3</v>
      </c>
    </row>
    <row r="240" spans="1:13" x14ac:dyDescent="0.3">
      <c r="A240" s="15"/>
      <c r="B240" s="1"/>
      <c r="C240" s="1">
        <v>510.77</v>
      </c>
      <c r="D240" s="4">
        <v>5.9040000000000002E-2</v>
      </c>
      <c r="E240" s="5">
        <v>3.0467599999999999E-3</v>
      </c>
      <c r="F240" s="5">
        <v>4.2913300000000003E-3</v>
      </c>
    </row>
    <row r="241" spans="1:13" x14ac:dyDescent="0.3">
      <c r="A241" s="15"/>
      <c r="B241" s="1"/>
      <c r="C241" s="1">
        <v>860.56</v>
      </c>
      <c r="D241" s="4">
        <v>1.2710000000000001E-2</v>
      </c>
      <c r="E241" s="5">
        <v>1.5153199999999999E-3</v>
      </c>
      <c r="F241" s="5">
        <v>2.4003200000000001E-3</v>
      </c>
    </row>
    <row r="242" spans="1:13" x14ac:dyDescent="0.3">
      <c r="A242" s="15">
        <v>21</v>
      </c>
      <c r="B242" s="1" t="s">
        <v>7</v>
      </c>
      <c r="C242" s="1">
        <v>351.93</v>
      </c>
      <c r="D242" s="4">
        <v>2.6600100000000002</v>
      </c>
      <c r="E242" s="4">
        <v>1.9099999999999999E-2</v>
      </c>
      <c r="F242" s="4">
        <v>2.298E-2</v>
      </c>
    </row>
    <row r="243" spans="1:13" x14ac:dyDescent="0.3">
      <c r="A243" s="15"/>
      <c r="B243" s="1"/>
      <c r="C243" s="1">
        <v>295.22000000000003</v>
      </c>
      <c r="D243" s="4">
        <v>1.56043</v>
      </c>
      <c r="E243" s="4">
        <v>1.8679999999999999E-2</v>
      </c>
      <c r="F243" s="4">
        <v>3.209E-2</v>
      </c>
    </row>
    <row r="244" spans="1:13" x14ac:dyDescent="0.3">
      <c r="A244" s="15"/>
      <c r="B244" s="1" t="s">
        <v>8</v>
      </c>
      <c r="C244" s="1">
        <v>609.32000000000005</v>
      </c>
      <c r="D244" s="4">
        <v>1.9222699999999999</v>
      </c>
      <c r="E244" s="4">
        <v>1.545E-2</v>
      </c>
      <c r="F244" s="4">
        <v>1.5859999999999999E-2</v>
      </c>
    </row>
    <row r="245" spans="1:13" x14ac:dyDescent="0.3">
      <c r="A245" s="15"/>
      <c r="B245" s="1"/>
      <c r="C245" s="1">
        <v>1764.49</v>
      </c>
      <c r="D245" s="4">
        <v>0.30471999999999999</v>
      </c>
      <c r="E245" s="5">
        <v>6.0929000000000001E-3</v>
      </c>
      <c r="F245" s="5">
        <v>5.98965E-3</v>
      </c>
    </row>
    <row r="246" spans="1:13" x14ac:dyDescent="0.3">
      <c r="A246" s="15"/>
      <c r="B246" s="1"/>
      <c r="C246" s="1">
        <v>1120.29</v>
      </c>
      <c r="D246" s="4">
        <v>0.39689000000000002</v>
      </c>
      <c r="E246" s="5">
        <v>7.3207799999999998E-3</v>
      </c>
      <c r="F246" s="5">
        <v>8.6342999999999993E-3</v>
      </c>
    </row>
    <row r="247" spans="1:13" x14ac:dyDescent="0.3">
      <c r="A247" s="15"/>
      <c r="B247" s="1" t="s">
        <v>9</v>
      </c>
      <c r="C247" s="1">
        <v>1460.82</v>
      </c>
      <c r="D247" s="4">
        <v>4.061E-2</v>
      </c>
      <c r="E247" s="5">
        <v>3.5623199999999999E-3</v>
      </c>
      <c r="F247" s="5">
        <v>6.86726E-3</v>
      </c>
    </row>
    <row r="248" spans="1:13" x14ac:dyDescent="0.3">
      <c r="A248" s="15"/>
      <c r="B248" s="1" t="s">
        <v>10</v>
      </c>
      <c r="C248" s="1">
        <v>238.63</v>
      </c>
      <c r="D248" s="4">
        <v>7.4075899999999999</v>
      </c>
      <c r="E248" s="4">
        <v>4.7489999999999997E-2</v>
      </c>
      <c r="F248" s="4">
        <v>4.53E-2</v>
      </c>
    </row>
    <row r="249" spans="1:13" x14ac:dyDescent="0.3">
      <c r="A249" s="15"/>
      <c r="B249" s="1" t="s">
        <v>11</v>
      </c>
      <c r="C249" s="1">
        <v>911.21</v>
      </c>
      <c r="D249" s="4">
        <v>1.75589</v>
      </c>
      <c r="E249" s="4">
        <v>1.4409999999999999E-2</v>
      </c>
      <c r="F249" s="4">
        <v>1.3129999999999999E-2</v>
      </c>
    </row>
    <row r="250" spans="1:13" x14ac:dyDescent="0.3">
      <c r="A250" s="15"/>
      <c r="B250" s="1"/>
      <c r="C250" s="1">
        <v>968.97</v>
      </c>
      <c r="D250" s="4">
        <v>1.00444</v>
      </c>
      <c r="E250" s="4">
        <v>1.1259999999999999E-2</v>
      </c>
      <c r="F250" s="4">
        <v>1.1900000000000001E-2</v>
      </c>
    </row>
    <row r="251" spans="1:13" x14ac:dyDescent="0.3">
      <c r="A251" s="15"/>
      <c r="B251" s="1"/>
      <c r="C251" s="1">
        <v>338.32</v>
      </c>
      <c r="D251" s="4">
        <v>1.7119899999999999</v>
      </c>
      <c r="E251" s="4">
        <v>2.0250000000000001E-2</v>
      </c>
      <c r="F251" s="4">
        <v>3.567E-2</v>
      </c>
    </row>
    <row r="252" spans="1:13" x14ac:dyDescent="0.3">
      <c r="A252" s="15"/>
      <c r="B252" s="1" t="s">
        <v>12</v>
      </c>
      <c r="C252" s="1">
        <v>2614.5300000000002</v>
      </c>
      <c r="D252" s="4">
        <v>0.89807000000000003</v>
      </c>
      <c r="E252" s="5">
        <v>9.5881300000000003E-3</v>
      </c>
      <c r="F252" s="5">
        <v>3.3781499999999999E-3</v>
      </c>
    </row>
    <row r="253" spans="1:13" x14ac:dyDescent="0.3">
      <c r="A253" s="15"/>
      <c r="B253" s="1"/>
      <c r="C253" s="1">
        <v>583.19000000000005</v>
      </c>
      <c r="D253" s="4">
        <v>2.6323400000000001</v>
      </c>
      <c r="E253" s="4">
        <v>1.7919999999999998E-2</v>
      </c>
      <c r="F253" s="4">
        <v>1.7649999999999999E-2</v>
      </c>
    </row>
    <row r="254" spans="1:13" x14ac:dyDescent="0.3">
      <c r="A254" s="15"/>
      <c r="B254" s="1"/>
      <c r="C254" s="1">
        <v>510.77</v>
      </c>
      <c r="D254" s="4">
        <v>0.85465000000000002</v>
      </c>
      <c r="E254" s="4">
        <v>1.184E-2</v>
      </c>
      <c r="F254" s="4">
        <v>1.6920000000000001E-2</v>
      </c>
    </row>
    <row r="255" spans="1:13" x14ac:dyDescent="0.3">
      <c r="A255" s="15"/>
      <c r="B255" s="1"/>
      <c r="C255" s="1">
        <v>860.56</v>
      </c>
      <c r="D255" s="4">
        <v>0.30096000000000001</v>
      </c>
      <c r="E255" s="5">
        <v>7.3312200000000003E-3</v>
      </c>
      <c r="F255" s="4">
        <v>1.123E-2</v>
      </c>
    </row>
    <row r="256" spans="1:13" x14ac:dyDescent="0.3">
      <c r="A256" s="21">
        <v>22</v>
      </c>
      <c r="B256" s="1" t="s">
        <v>7</v>
      </c>
      <c r="C256" s="1">
        <v>351.93</v>
      </c>
      <c r="D256" s="4">
        <v>3.1896800000000001</v>
      </c>
      <c r="E256" s="4">
        <v>2.138E-2</v>
      </c>
      <c r="F256" s="4">
        <v>2.6939999999999999E-2</v>
      </c>
      <c r="H256" s="21">
        <v>22</v>
      </c>
      <c r="I256" s="1" t="s">
        <v>7</v>
      </c>
      <c r="J256" s="1">
        <v>351.93</v>
      </c>
      <c r="K256" s="4"/>
      <c r="L256" s="4"/>
      <c r="M256" s="4"/>
    </row>
    <row r="257" spans="1:13" x14ac:dyDescent="0.3">
      <c r="A257" s="15" t="s">
        <v>27</v>
      </c>
      <c r="B257" s="1"/>
      <c r="C257" s="1">
        <v>295.22000000000003</v>
      </c>
      <c r="D257" s="4">
        <v>1.8618699999999999</v>
      </c>
      <c r="E257" s="4">
        <v>1.984E-2</v>
      </c>
      <c r="F257" s="4">
        <v>3.3439999999999998E-2</v>
      </c>
      <c r="H257" s="15" t="s">
        <v>27</v>
      </c>
      <c r="I257" s="1"/>
      <c r="J257" s="1">
        <v>295.22000000000003</v>
      </c>
      <c r="K257" s="4"/>
      <c r="L257" s="4"/>
      <c r="M257" s="4"/>
    </row>
    <row r="258" spans="1:13" x14ac:dyDescent="0.3">
      <c r="A258" s="15" t="s">
        <v>26</v>
      </c>
      <c r="B258" s="1" t="s">
        <v>8</v>
      </c>
      <c r="C258" s="1">
        <v>609.32000000000005</v>
      </c>
      <c r="D258" s="4">
        <v>2.3043499999999999</v>
      </c>
      <c r="E258" s="4">
        <v>1.6750000000000001E-2</v>
      </c>
      <c r="F258" s="4">
        <v>1.6490000000000001E-2</v>
      </c>
      <c r="H258" s="15" t="s">
        <v>26</v>
      </c>
      <c r="I258" s="1" t="s">
        <v>8</v>
      </c>
      <c r="J258" s="1">
        <v>609.32000000000005</v>
      </c>
      <c r="K258" s="4"/>
      <c r="L258" s="4"/>
      <c r="M258" s="4"/>
    </row>
    <row r="259" spans="1:13" x14ac:dyDescent="0.3">
      <c r="A259" s="15" t="s">
        <v>24</v>
      </c>
      <c r="B259" s="1"/>
      <c r="C259" s="1">
        <v>1764.49</v>
      </c>
      <c r="D259" s="4">
        <v>0.36520999999999998</v>
      </c>
      <c r="E259" s="5">
        <v>6.6174900000000002E-3</v>
      </c>
      <c r="F259" s="5">
        <v>6.3061899999999997E-3</v>
      </c>
      <c r="H259" s="15" t="s">
        <v>24</v>
      </c>
      <c r="I259" s="1"/>
      <c r="J259" s="1">
        <v>1764.49</v>
      </c>
      <c r="K259" s="4"/>
      <c r="L259" s="5"/>
      <c r="M259" s="5"/>
    </row>
    <row r="260" spans="1:13" x14ac:dyDescent="0.3">
      <c r="A260" s="15"/>
      <c r="B260" s="1"/>
      <c r="C260" s="1">
        <v>1120.29</v>
      </c>
      <c r="D260" s="18" t="s">
        <v>67</v>
      </c>
      <c r="E260" s="5"/>
      <c r="F260" s="5"/>
      <c r="H260" s="15"/>
      <c r="I260" s="1"/>
      <c r="J260" s="1">
        <v>1120.29</v>
      </c>
      <c r="K260" s="4"/>
      <c r="L260" s="5"/>
      <c r="M260" s="5"/>
    </row>
    <row r="261" spans="1:13" x14ac:dyDescent="0.3">
      <c r="A261" s="15"/>
      <c r="B261" s="1" t="s">
        <v>9</v>
      </c>
      <c r="C261" s="1">
        <v>1460.82</v>
      </c>
      <c r="D261" s="19" t="s">
        <v>68</v>
      </c>
      <c r="E261" s="4"/>
      <c r="F261" s="4"/>
      <c r="H261" s="15"/>
      <c r="I261" s="1" t="s">
        <v>9</v>
      </c>
      <c r="J261" s="1">
        <v>1460.82</v>
      </c>
      <c r="K261" s="19" t="s">
        <v>68</v>
      </c>
      <c r="L261" s="4"/>
      <c r="M261" s="4"/>
    </row>
    <row r="262" spans="1:13" x14ac:dyDescent="0.3">
      <c r="A262" s="15"/>
      <c r="B262" s="1" t="s">
        <v>10</v>
      </c>
      <c r="C262" s="1">
        <v>238.63</v>
      </c>
      <c r="D262" s="18" t="s">
        <v>69</v>
      </c>
      <c r="E262" s="4"/>
      <c r="F262" s="4"/>
      <c r="H262" s="15"/>
      <c r="I262" s="1" t="s">
        <v>10</v>
      </c>
      <c r="J262" s="1">
        <v>238.63</v>
      </c>
      <c r="K262" s="4">
        <v>8.1364400000000003</v>
      </c>
      <c r="L262" s="4">
        <v>4.8660000000000002E-2</v>
      </c>
      <c r="M262" s="4">
        <v>4.8590000000000001E-2</v>
      </c>
    </row>
    <row r="263" spans="1:13" x14ac:dyDescent="0.3">
      <c r="A263" s="15"/>
      <c r="B263" s="1" t="s">
        <v>11</v>
      </c>
      <c r="C263" s="1">
        <v>911.21</v>
      </c>
      <c r="D263" s="4">
        <v>1.97001</v>
      </c>
      <c r="E263" s="4">
        <v>1.529E-2</v>
      </c>
      <c r="F263" s="4">
        <v>1.409E-2</v>
      </c>
      <c r="H263" s="15"/>
      <c r="I263" s="1" t="s">
        <v>11</v>
      </c>
      <c r="J263" s="1">
        <v>911.21</v>
      </c>
      <c r="K263" s="4">
        <v>1.97001</v>
      </c>
      <c r="L263" s="4">
        <v>1.529E-2</v>
      </c>
      <c r="M263" s="4">
        <v>1.409E-2</v>
      </c>
    </row>
    <row r="264" spans="1:13" x14ac:dyDescent="0.3">
      <c r="A264" s="15"/>
      <c r="B264" s="1"/>
      <c r="C264" s="1">
        <v>968.97</v>
      </c>
      <c r="D264" s="18" t="s">
        <v>70</v>
      </c>
      <c r="E264" s="4"/>
      <c r="F264" s="4"/>
      <c r="H264" s="15"/>
      <c r="I264" s="1"/>
      <c r="J264" s="1">
        <v>968.97</v>
      </c>
      <c r="K264" s="4">
        <v>1.1487700000000001</v>
      </c>
      <c r="L264" s="4">
        <v>1.231E-2</v>
      </c>
      <c r="M264" s="4">
        <v>1.4E-2</v>
      </c>
    </row>
    <row r="265" spans="1:13" x14ac:dyDescent="0.3">
      <c r="A265" s="15"/>
      <c r="B265" s="1"/>
      <c r="C265" s="1">
        <v>338.32</v>
      </c>
      <c r="D265" s="4">
        <v>1.88035</v>
      </c>
      <c r="E265" s="4">
        <v>2.188E-2</v>
      </c>
      <c r="F265" s="4">
        <v>3.9399999999999998E-2</v>
      </c>
      <c r="H265" s="15"/>
      <c r="I265" s="1"/>
      <c r="J265" s="1">
        <v>338.32</v>
      </c>
      <c r="K265" s="4"/>
      <c r="L265" s="4"/>
      <c r="M265" s="4"/>
    </row>
    <row r="266" spans="1:13" x14ac:dyDescent="0.3">
      <c r="A266" s="15"/>
      <c r="B266" s="1" t="s">
        <v>12</v>
      </c>
      <c r="C266" s="1">
        <v>2614.5300000000002</v>
      </c>
      <c r="D266" s="4"/>
      <c r="E266" s="4"/>
      <c r="F266" s="5"/>
      <c r="H266" s="15"/>
      <c r="I266" s="1" t="s">
        <v>12</v>
      </c>
      <c r="J266" s="1">
        <v>2614.5300000000002</v>
      </c>
      <c r="K266" s="18" t="s">
        <v>72</v>
      </c>
      <c r="L266" s="4"/>
      <c r="M266" s="5"/>
    </row>
    <row r="267" spans="1:13" x14ac:dyDescent="0.3">
      <c r="A267" s="15"/>
      <c r="B267" s="1"/>
      <c r="C267" s="1">
        <v>583.19000000000005</v>
      </c>
      <c r="D267" s="4">
        <v>2.9296899999999999</v>
      </c>
      <c r="E267" s="4">
        <v>1.9040000000000001E-2</v>
      </c>
      <c r="F267" s="4">
        <v>1.9220000000000001E-2</v>
      </c>
      <c r="H267" s="15"/>
      <c r="I267" s="1"/>
      <c r="J267" s="1">
        <v>583.19000000000005</v>
      </c>
      <c r="K267" s="4"/>
      <c r="L267" s="4"/>
      <c r="M267" s="4"/>
    </row>
    <row r="268" spans="1:13" x14ac:dyDescent="0.3">
      <c r="A268" s="15"/>
      <c r="B268" s="1"/>
      <c r="C268" s="1">
        <v>510.77</v>
      </c>
      <c r="D268" s="18" t="s">
        <v>71</v>
      </c>
      <c r="E268" s="4"/>
      <c r="F268" s="4"/>
      <c r="H268" s="15"/>
      <c r="I268" s="1"/>
      <c r="J268" s="1">
        <v>510.77</v>
      </c>
      <c r="K268" s="18" t="s">
        <v>71</v>
      </c>
      <c r="L268" s="4"/>
      <c r="M268" s="4"/>
    </row>
    <row r="269" spans="1:13" x14ac:dyDescent="0.3">
      <c r="A269" s="15"/>
      <c r="B269" s="1"/>
      <c r="C269" s="1">
        <v>860.56</v>
      </c>
      <c r="D269" s="4">
        <v>0.33964</v>
      </c>
      <c r="E269" s="5">
        <v>7.5926300000000004E-3</v>
      </c>
      <c r="F269" s="4">
        <v>1.129E-2</v>
      </c>
      <c r="H269" s="15"/>
      <c r="I269" s="1"/>
      <c r="J269" s="1">
        <v>860.56</v>
      </c>
      <c r="K269" s="4"/>
      <c r="L269" s="5"/>
      <c r="M269" s="4"/>
    </row>
    <row r="270" spans="1:13" x14ac:dyDescent="0.3">
      <c r="A270" s="21">
        <v>24</v>
      </c>
      <c r="B270" s="1" t="s">
        <v>7</v>
      </c>
      <c r="C270" s="1">
        <v>351.93</v>
      </c>
      <c r="D270" s="4">
        <v>1.92021</v>
      </c>
      <c r="E270" s="4">
        <v>1.5910000000000001E-2</v>
      </c>
      <c r="F270" s="4">
        <v>1.8159999999999999E-2</v>
      </c>
      <c r="H270" s="21">
        <v>24</v>
      </c>
      <c r="I270" s="1" t="s">
        <v>7</v>
      </c>
      <c r="J270" s="1">
        <v>351.93</v>
      </c>
      <c r="K270" s="4"/>
      <c r="L270" s="4"/>
      <c r="M270" s="4"/>
    </row>
    <row r="271" spans="1:13" x14ac:dyDescent="0.3">
      <c r="A271" s="15" t="s">
        <v>12</v>
      </c>
      <c r="B271" s="1"/>
      <c r="C271" s="1">
        <v>295.22000000000003</v>
      </c>
      <c r="D271" s="4">
        <v>1.13591</v>
      </c>
      <c r="E271" s="4">
        <v>1.6799999999999999E-2</v>
      </c>
      <c r="F271" s="4">
        <v>3.0099999999999998E-2</v>
      </c>
      <c r="H271" s="15" t="s">
        <v>12</v>
      </c>
      <c r="I271" s="1"/>
      <c r="J271" s="1">
        <v>295.22000000000003</v>
      </c>
      <c r="K271" s="4"/>
      <c r="L271" s="4"/>
      <c r="M271" s="4"/>
    </row>
    <row r="272" spans="1:13" x14ac:dyDescent="0.3">
      <c r="A272" s="15" t="s">
        <v>23</v>
      </c>
      <c r="B272" s="1" t="s">
        <v>8</v>
      </c>
      <c r="C272" s="1">
        <v>609.32000000000005</v>
      </c>
      <c r="D272" s="4">
        <v>1.3585700000000001</v>
      </c>
      <c r="E272" s="4">
        <v>1.2840000000000001E-2</v>
      </c>
      <c r="F272" s="4">
        <v>1.244E-2</v>
      </c>
      <c r="H272" s="15" t="s">
        <v>23</v>
      </c>
      <c r="I272" s="1" t="s">
        <v>8</v>
      </c>
      <c r="J272" s="1">
        <v>609.32000000000005</v>
      </c>
      <c r="K272" s="4"/>
      <c r="L272" s="4"/>
      <c r="M272" s="4"/>
    </row>
    <row r="273" spans="1:13" x14ac:dyDescent="0.3">
      <c r="A273" s="15" t="s">
        <v>24</v>
      </c>
      <c r="B273" s="1"/>
      <c r="C273" s="1">
        <v>1764.49</v>
      </c>
      <c r="D273" s="19" t="s">
        <v>73</v>
      </c>
      <c r="E273" s="5"/>
      <c r="F273" s="5"/>
      <c r="H273" s="15" t="s">
        <v>24</v>
      </c>
      <c r="I273" s="1"/>
      <c r="J273" s="1">
        <v>1764.49</v>
      </c>
      <c r="K273" s="4"/>
      <c r="L273" s="5"/>
      <c r="M273" s="5"/>
    </row>
    <row r="274" spans="1:13" x14ac:dyDescent="0.3">
      <c r="A274" s="15" t="s">
        <v>25</v>
      </c>
      <c r="B274" s="1"/>
      <c r="C274" s="1">
        <v>1120.29</v>
      </c>
      <c r="D274" s="4">
        <v>0.27618999999999999</v>
      </c>
      <c r="E274" s="5">
        <v>5.9934599999999999E-3</v>
      </c>
      <c r="F274" s="5">
        <v>6.7496700000000001E-3</v>
      </c>
      <c r="H274" s="15" t="s">
        <v>25</v>
      </c>
      <c r="I274" s="1"/>
      <c r="J274" s="1">
        <v>1120.29</v>
      </c>
      <c r="K274" s="4"/>
      <c r="L274" s="5"/>
      <c r="M274" s="5"/>
    </row>
    <row r="275" spans="1:13" x14ac:dyDescent="0.3">
      <c r="A275" s="15"/>
      <c r="B275" s="1" t="s">
        <v>9</v>
      </c>
      <c r="C275" s="1">
        <v>1460.82</v>
      </c>
      <c r="D275" s="19" t="s">
        <v>74</v>
      </c>
      <c r="E275" s="4"/>
      <c r="F275" s="4"/>
      <c r="H275" s="15"/>
      <c r="I275" s="1" t="s">
        <v>9</v>
      </c>
      <c r="J275" s="1">
        <v>1460.82</v>
      </c>
      <c r="K275" s="19" t="s">
        <v>74</v>
      </c>
      <c r="L275" s="4"/>
      <c r="M275" s="4"/>
    </row>
    <row r="276" spans="1:13" x14ac:dyDescent="0.3">
      <c r="A276" s="15"/>
      <c r="B276" s="1" t="s">
        <v>10</v>
      </c>
      <c r="C276" s="1">
        <v>238.63</v>
      </c>
      <c r="D276" s="18" t="s">
        <v>75</v>
      </c>
      <c r="E276" s="4"/>
      <c r="F276" s="4"/>
      <c r="H276" s="15"/>
      <c r="I276" s="1" t="s">
        <v>10</v>
      </c>
      <c r="J276" s="1">
        <v>238.63</v>
      </c>
      <c r="K276" s="18" t="s">
        <v>75</v>
      </c>
      <c r="L276" s="4"/>
      <c r="M276" s="4"/>
    </row>
    <row r="277" spans="1:13" x14ac:dyDescent="0.3">
      <c r="A277" s="15"/>
      <c r="B277" s="1" t="s">
        <v>11</v>
      </c>
      <c r="C277" s="1">
        <v>911.21</v>
      </c>
      <c r="D277" s="4">
        <v>1.13243</v>
      </c>
      <c r="E277" s="4">
        <v>1.157E-2</v>
      </c>
      <c r="F277" s="4">
        <v>1.0529999999999999E-2</v>
      </c>
      <c r="H277" s="15"/>
      <c r="I277" s="1" t="s">
        <v>11</v>
      </c>
      <c r="J277" s="1">
        <v>911.21</v>
      </c>
      <c r="K277" s="4">
        <v>1.13243</v>
      </c>
      <c r="L277" s="4">
        <v>1.157E-2</v>
      </c>
      <c r="M277" s="4">
        <v>1.0529999999999999E-2</v>
      </c>
    </row>
    <row r="278" spans="1:13" x14ac:dyDescent="0.3">
      <c r="A278" s="15"/>
      <c r="B278" s="1"/>
      <c r="C278" s="1">
        <v>968.97</v>
      </c>
      <c r="D278" s="4">
        <v>0.65405999999999997</v>
      </c>
      <c r="E278" s="5">
        <v>9.1356800000000002E-3</v>
      </c>
      <c r="F278" s="5">
        <v>9.9431299999999997E-3</v>
      </c>
      <c r="H278" s="15"/>
      <c r="I278" s="1"/>
      <c r="J278" s="1">
        <v>968.97</v>
      </c>
      <c r="K278" s="4">
        <v>0.65405999999999997</v>
      </c>
      <c r="L278" s="5">
        <v>9.1356800000000002E-3</v>
      </c>
      <c r="M278" s="5">
        <v>9.9431299999999997E-3</v>
      </c>
    </row>
    <row r="279" spans="1:13" x14ac:dyDescent="0.3">
      <c r="A279" s="15"/>
      <c r="B279" s="1"/>
      <c r="C279" s="1">
        <v>338.32</v>
      </c>
      <c r="D279" s="4">
        <v>1.14439</v>
      </c>
      <c r="E279" s="4">
        <v>1.6369999999999999E-2</v>
      </c>
      <c r="F279" s="4">
        <v>2.878E-2</v>
      </c>
      <c r="H279" s="15"/>
      <c r="I279" s="1"/>
      <c r="J279" s="1">
        <v>338.32</v>
      </c>
      <c r="K279" s="4"/>
      <c r="L279" s="4"/>
      <c r="M279" s="4"/>
    </row>
    <row r="280" spans="1:13" x14ac:dyDescent="0.3">
      <c r="A280" s="15"/>
      <c r="B280" s="1" t="s">
        <v>12</v>
      </c>
      <c r="C280" s="1">
        <v>2614.5300000000002</v>
      </c>
      <c r="D280" s="4"/>
      <c r="E280" s="5"/>
      <c r="F280" s="5"/>
      <c r="H280" s="15"/>
      <c r="I280" s="1" t="s">
        <v>12</v>
      </c>
      <c r="J280" s="1">
        <v>2614.5300000000002</v>
      </c>
      <c r="K280" s="4">
        <v>0.56513000000000002</v>
      </c>
      <c r="L280" s="5">
        <v>7.5870399999999998E-3</v>
      </c>
      <c r="M280" s="5">
        <v>2.4415299999999999E-3</v>
      </c>
    </row>
    <row r="281" spans="1:13" x14ac:dyDescent="0.3">
      <c r="A281" s="15"/>
      <c r="B281" s="1"/>
      <c r="C281" s="1">
        <v>583.19000000000005</v>
      </c>
      <c r="D281" s="4">
        <v>1.7278800000000001</v>
      </c>
      <c r="E281" s="4">
        <v>1.439E-2</v>
      </c>
      <c r="F281" s="4">
        <v>1.337E-2</v>
      </c>
      <c r="H281" s="15"/>
      <c r="I281" s="1"/>
      <c r="J281" s="1">
        <v>583.19000000000005</v>
      </c>
      <c r="K281" s="4"/>
      <c r="L281" s="4"/>
      <c r="M281" s="4"/>
    </row>
    <row r="282" spans="1:13" x14ac:dyDescent="0.3">
      <c r="A282" s="15"/>
      <c r="B282" s="1"/>
      <c r="C282" s="1">
        <v>510.77</v>
      </c>
      <c r="D282" s="4">
        <v>0.54161000000000004</v>
      </c>
      <c r="E282" s="5">
        <v>9.5436400000000008E-3</v>
      </c>
      <c r="F282" s="4">
        <v>1.358E-2</v>
      </c>
      <c r="H282" s="15"/>
      <c r="I282" s="1"/>
      <c r="J282" s="1">
        <v>510.77</v>
      </c>
      <c r="K282" s="4">
        <v>0.54161000000000004</v>
      </c>
      <c r="L282" s="5">
        <v>9.5436400000000008E-3</v>
      </c>
      <c r="M282" s="4">
        <v>1.358E-2</v>
      </c>
    </row>
    <row r="283" spans="1:13" x14ac:dyDescent="0.3">
      <c r="A283" s="15"/>
      <c r="B283" s="1"/>
      <c r="C283" s="1">
        <v>860.56</v>
      </c>
      <c r="D283" s="4">
        <v>0.19968</v>
      </c>
      <c r="E283" s="5">
        <v>5.5016099999999997E-3</v>
      </c>
      <c r="F283" s="5">
        <v>7.4823299999999997E-3</v>
      </c>
      <c r="H283" s="15"/>
      <c r="I283" s="1"/>
      <c r="J283" s="1">
        <v>860.56</v>
      </c>
      <c r="K283" s="4">
        <v>0.19968</v>
      </c>
      <c r="L283" s="5">
        <v>5.5016099999999997E-3</v>
      </c>
      <c r="M283" s="5">
        <v>7.4823299999999997E-3</v>
      </c>
    </row>
    <row r="284" spans="1:13" x14ac:dyDescent="0.3">
      <c r="A284" s="21">
        <v>25</v>
      </c>
      <c r="B284" s="1" t="s">
        <v>7</v>
      </c>
      <c r="C284" s="1">
        <v>351.93</v>
      </c>
      <c r="D284" s="4">
        <v>0.31877</v>
      </c>
      <c r="E284" s="5">
        <v>6.5786200000000003E-3</v>
      </c>
      <c r="F284" s="5">
        <v>7.7921500000000003E-3</v>
      </c>
      <c r="H284" s="15"/>
      <c r="I284" s="1"/>
      <c r="J284" s="1"/>
      <c r="K284" s="4"/>
      <c r="L284" s="5"/>
      <c r="M284" s="5"/>
    </row>
    <row r="285" spans="1:13" x14ac:dyDescent="0.3">
      <c r="A285" s="21"/>
      <c r="B285" s="1"/>
      <c r="C285" s="1">
        <v>295.22000000000003</v>
      </c>
      <c r="D285" s="4">
        <v>0.19262000000000001</v>
      </c>
      <c r="E285" s="5">
        <v>6.1261900000000001E-3</v>
      </c>
      <c r="F285" s="5">
        <v>9.8299100000000007E-3</v>
      </c>
      <c r="H285" s="15"/>
      <c r="I285" s="1"/>
      <c r="J285" s="1"/>
      <c r="K285" s="4"/>
      <c r="L285" s="5"/>
      <c r="M285" s="5"/>
    </row>
    <row r="286" spans="1:13" x14ac:dyDescent="0.3">
      <c r="A286" s="21"/>
      <c r="B286" s="1" t="s">
        <v>8</v>
      </c>
      <c r="C286" s="1">
        <v>609.32000000000005</v>
      </c>
      <c r="D286" s="4">
        <v>0.22109000000000001</v>
      </c>
      <c r="E286" s="5">
        <v>5.1522099999999999E-3</v>
      </c>
      <c r="F286" s="5">
        <v>4.94335E-3</v>
      </c>
      <c r="H286" s="15"/>
      <c r="I286" s="1"/>
      <c r="J286" s="1"/>
      <c r="K286" s="4"/>
      <c r="L286" s="5"/>
      <c r="M286" s="5"/>
    </row>
    <row r="287" spans="1:13" x14ac:dyDescent="0.3">
      <c r="A287" s="21"/>
      <c r="B287" s="1"/>
      <c r="C287" s="1">
        <v>1764.49</v>
      </c>
      <c r="D287" s="19" t="s">
        <v>76</v>
      </c>
      <c r="E287" s="1"/>
      <c r="F287" s="1"/>
      <c r="H287" s="15"/>
      <c r="I287" s="1"/>
      <c r="J287" s="1"/>
      <c r="K287" s="1"/>
      <c r="L287" s="1"/>
      <c r="M287" s="1"/>
    </row>
    <row r="288" spans="1:13" x14ac:dyDescent="0.3">
      <c r="A288" s="21"/>
      <c r="B288" s="1"/>
      <c r="C288" s="1">
        <v>1120.29</v>
      </c>
      <c r="D288" s="4">
        <v>4.4740000000000002E-2</v>
      </c>
      <c r="E288" s="5">
        <v>2.5324700000000002E-3</v>
      </c>
      <c r="F288" s="5">
        <v>3.28488E-3</v>
      </c>
      <c r="H288" s="15"/>
      <c r="I288" s="1"/>
      <c r="J288" s="1"/>
      <c r="K288" s="4"/>
      <c r="L288" s="5"/>
      <c r="M288" s="5"/>
    </row>
    <row r="289" spans="1:13" x14ac:dyDescent="0.3">
      <c r="A289" s="21"/>
      <c r="B289" s="1" t="s">
        <v>9</v>
      </c>
      <c r="C289" s="1">
        <v>1460.82</v>
      </c>
      <c r="D289" s="4">
        <v>1.6789999999999999E-2</v>
      </c>
      <c r="E289" s="5">
        <v>1.6543599999999999E-3</v>
      </c>
      <c r="F289" s="5">
        <v>2.3901500000000002E-3</v>
      </c>
      <c r="H289" s="15"/>
      <c r="I289" s="1"/>
      <c r="J289" s="1"/>
      <c r="K289" s="4"/>
      <c r="L289" s="5"/>
      <c r="M289" s="5"/>
    </row>
    <row r="290" spans="1:13" x14ac:dyDescent="0.3">
      <c r="A290" s="21"/>
      <c r="B290" s="1" t="s">
        <v>10</v>
      </c>
      <c r="C290" s="1">
        <v>238.63</v>
      </c>
      <c r="D290" s="4">
        <v>0.91869000000000001</v>
      </c>
      <c r="E290" s="4">
        <v>1.095E-2</v>
      </c>
      <c r="F290" s="4">
        <v>1.2290000000000001E-2</v>
      </c>
      <c r="H290" s="15"/>
      <c r="I290" s="1"/>
      <c r="J290" s="1"/>
      <c r="K290" s="4"/>
      <c r="L290" s="4"/>
      <c r="M290" s="4"/>
    </row>
    <row r="291" spans="1:13" x14ac:dyDescent="0.3">
      <c r="A291" s="21"/>
      <c r="B291" s="1" t="s">
        <v>11</v>
      </c>
      <c r="C291" s="1">
        <v>911.21</v>
      </c>
      <c r="D291" s="4">
        <v>0.16797000000000001</v>
      </c>
      <c r="E291" s="5">
        <v>4.3608299999999996E-3</v>
      </c>
      <c r="F291" s="5">
        <v>3.4378899999999999E-3</v>
      </c>
      <c r="H291" s="15"/>
      <c r="I291" s="1"/>
      <c r="J291" s="1"/>
      <c r="K291" s="4"/>
      <c r="L291" s="5"/>
      <c r="M291" s="5"/>
    </row>
    <row r="292" spans="1:13" x14ac:dyDescent="0.3">
      <c r="A292" s="21"/>
      <c r="B292" s="1"/>
      <c r="C292" s="1">
        <v>968.97</v>
      </c>
      <c r="D292" s="4">
        <v>9.4689999999999996E-2</v>
      </c>
      <c r="E292" s="5">
        <v>3.53916E-3</v>
      </c>
      <c r="F292" s="5">
        <v>4.0793899999999996E-3</v>
      </c>
      <c r="H292" s="15"/>
      <c r="I292" s="1"/>
      <c r="J292" s="1"/>
      <c r="K292" s="4"/>
      <c r="L292" s="5"/>
      <c r="M292" s="5"/>
    </row>
    <row r="293" spans="1:13" x14ac:dyDescent="0.3">
      <c r="A293" s="21"/>
      <c r="B293" s="1"/>
      <c r="C293" s="1">
        <v>338.32</v>
      </c>
      <c r="D293" s="4">
        <v>0.17052</v>
      </c>
      <c r="E293" s="5">
        <v>5.2452599999999999E-3</v>
      </c>
      <c r="F293" s="5">
        <v>7.5102500000000004E-3</v>
      </c>
      <c r="H293" s="15"/>
      <c r="I293" s="1"/>
      <c r="J293" s="1"/>
      <c r="K293" s="4"/>
      <c r="L293" s="5"/>
      <c r="M293" s="5"/>
    </row>
    <row r="294" spans="1:13" x14ac:dyDescent="0.3">
      <c r="A294" s="21"/>
      <c r="B294" s="1" t="s">
        <v>12</v>
      </c>
      <c r="C294" s="1">
        <v>2614.5300000000002</v>
      </c>
      <c r="D294" s="4">
        <v>8.8999999999999996E-2</v>
      </c>
      <c r="E294" s="5">
        <v>3.0428999999999999E-3</v>
      </c>
      <c r="F294" s="5">
        <v>1.4488599999999999E-3</v>
      </c>
      <c r="H294" s="15"/>
      <c r="I294" s="1"/>
      <c r="J294" s="1"/>
      <c r="K294" s="4"/>
      <c r="L294" s="5"/>
      <c r="M294" s="5"/>
    </row>
    <row r="295" spans="1:13" x14ac:dyDescent="0.3">
      <c r="A295" s="15"/>
      <c r="B295" s="1"/>
      <c r="C295" s="1">
        <v>583.19000000000005</v>
      </c>
      <c r="D295" s="4">
        <v>0.26450000000000001</v>
      </c>
      <c r="E295" s="5">
        <v>5.6628199999999998E-3</v>
      </c>
      <c r="F295" s="5">
        <v>5.5613900000000003E-3</v>
      </c>
      <c r="H295" s="15"/>
      <c r="I295" s="1"/>
      <c r="J295" s="1"/>
      <c r="K295" s="4"/>
      <c r="L295" s="5"/>
      <c r="M295" s="5"/>
    </row>
    <row r="296" spans="1:13" x14ac:dyDescent="0.3">
      <c r="A296" s="15"/>
      <c r="B296" s="1"/>
      <c r="C296" s="1">
        <v>510.77</v>
      </c>
      <c r="D296" s="4">
        <v>0.10242</v>
      </c>
      <c r="E296" s="5">
        <v>4.0219000000000001E-3</v>
      </c>
      <c r="F296" s="5">
        <v>5.6134799999999997E-3</v>
      </c>
      <c r="H296" s="15"/>
      <c r="I296" s="1"/>
      <c r="J296" s="1"/>
      <c r="K296" s="4"/>
      <c r="L296" s="5"/>
      <c r="M296" s="5"/>
    </row>
    <row r="297" spans="1:13" x14ac:dyDescent="0.3">
      <c r="A297" s="15"/>
      <c r="B297" s="1"/>
      <c r="C297" s="1">
        <v>860.56</v>
      </c>
      <c r="D297" s="4">
        <v>3.0759999999999999E-2</v>
      </c>
      <c r="E297" s="5">
        <v>2.3630399999999998E-3</v>
      </c>
      <c r="F297" s="5">
        <v>3.73186E-3</v>
      </c>
      <c r="H297" s="15"/>
      <c r="I297" s="1"/>
      <c r="J297" s="1"/>
      <c r="K297" s="4"/>
      <c r="L297" s="5"/>
      <c r="M297" s="5"/>
    </row>
    <row r="298" spans="1:13" x14ac:dyDescent="0.3">
      <c r="A298" s="21">
        <v>26</v>
      </c>
      <c r="B298" s="1" t="s">
        <v>7</v>
      </c>
      <c r="C298" s="1">
        <v>351.93</v>
      </c>
      <c r="D298" s="19" t="s">
        <v>77</v>
      </c>
      <c r="E298" s="5"/>
      <c r="F298" s="5"/>
    </row>
    <row r="299" spans="1:13" x14ac:dyDescent="0.3">
      <c r="A299" s="15"/>
      <c r="B299" s="1"/>
      <c r="C299" s="1">
        <v>295.22000000000003</v>
      </c>
      <c r="D299" s="18" t="s">
        <v>78</v>
      </c>
      <c r="E299" s="5"/>
      <c r="F299" s="5"/>
    </row>
    <row r="300" spans="1:13" x14ac:dyDescent="0.3">
      <c r="A300" s="15"/>
      <c r="B300" s="1" t="s">
        <v>8</v>
      </c>
      <c r="C300" s="1">
        <v>609.32000000000005</v>
      </c>
      <c r="D300" s="4">
        <v>0.21057999999999999</v>
      </c>
      <c r="E300" s="5">
        <v>5.13102E-3</v>
      </c>
      <c r="F300" s="5">
        <v>5.2946800000000004E-3</v>
      </c>
    </row>
    <row r="301" spans="1:13" x14ac:dyDescent="0.3">
      <c r="A301" s="15"/>
      <c r="B301" s="1"/>
      <c r="C301" s="1">
        <v>1764.49</v>
      </c>
      <c r="D301" s="4">
        <v>3.09E-2</v>
      </c>
      <c r="E301" s="5">
        <v>2.0020799999999998E-3</v>
      </c>
      <c r="F301" s="5">
        <v>2.2828100000000001E-3</v>
      </c>
    </row>
    <row r="302" spans="1:13" x14ac:dyDescent="0.3">
      <c r="A302" s="15"/>
      <c r="B302" s="22"/>
      <c r="C302" s="1">
        <v>1120.29</v>
      </c>
      <c r="D302" s="4">
        <v>3.8580000000000003E-2</v>
      </c>
      <c r="E302" s="5">
        <v>2.3534099999999998E-3</v>
      </c>
      <c r="F302" s="5">
        <v>3.0615999999999998E-3</v>
      </c>
    </row>
    <row r="303" spans="1:13" x14ac:dyDescent="0.3">
      <c r="A303" s="15"/>
      <c r="B303" s="1" t="s">
        <v>9</v>
      </c>
      <c r="C303" s="1">
        <v>1460.82</v>
      </c>
      <c r="D303" s="18" t="s">
        <v>79</v>
      </c>
      <c r="E303" s="5"/>
      <c r="F303" s="5"/>
    </row>
    <row r="304" spans="1:13" x14ac:dyDescent="0.3">
      <c r="A304" s="15"/>
      <c r="B304" s="1" t="s">
        <v>10</v>
      </c>
      <c r="C304" s="1">
        <v>238.63</v>
      </c>
      <c r="D304" s="4">
        <v>0.86804999999999999</v>
      </c>
      <c r="E304" s="4">
        <v>1.0449999999999999E-2</v>
      </c>
      <c r="F304" s="4">
        <v>1.106E-2</v>
      </c>
    </row>
    <row r="305" spans="1:6" x14ac:dyDescent="0.3">
      <c r="A305" s="15"/>
      <c r="B305" s="1" t="s">
        <v>11</v>
      </c>
      <c r="C305" s="1">
        <v>911.21</v>
      </c>
      <c r="D305" s="18" t="s">
        <v>80</v>
      </c>
      <c r="E305" s="5"/>
      <c r="F305" s="5"/>
    </row>
    <row r="306" spans="1:6" x14ac:dyDescent="0.3">
      <c r="A306" s="15"/>
      <c r="B306" s="1"/>
      <c r="C306" s="1">
        <v>968.97</v>
      </c>
      <c r="D306" s="4">
        <v>9.1740000000000002E-2</v>
      </c>
      <c r="E306" s="5">
        <v>3.5196799999999999E-3</v>
      </c>
      <c r="F306" s="5">
        <v>4.2300200000000001E-3</v>
      </c>
    </row>
    <row r="307" spans="1:6" x14ac:dyDescent="0.3">
      <c r="A307" s="15"/>
      <c r="B307" s="1"/>
      <c r="C307" s="1">
        <v>338.32</v>
      </c>
      <c r="D307" s="4">
        <v>0.16497000000000001</v>
      </c>
      <c r="E307" s="5">
        <v>5.2733600000000004E-3</v>
      </c>
      <c r="F307" s="5">
        <v>7.8613199999999998E-3</v>
      </c>
    </row>
    <row r="308" spans="1:6" x14ac:dyDescent="0.3">
      <c r="A308" s="15"/>
      <c r="B308" s="1" t="s">
        <v>12</v>
      </c>
      <c r="C308" s="1">
        <v>2614.5300000000002</v>
      </c>
      <c r="D308" s="18" t="s">
        <v>81</v>
      </c>
      <c r="E308" s="1"/>
      <c r="F308" s="1"/>
    </row>
    <row r="309" spans="1:6" x14ac:dyDescent="0.3">
      <c r="A309" s="15"/>
      <c r="B309" s="1"/>
      <c r="C309" s="1">
        <v>583.19000000000005</v>
      </c>
      <c r="D309" s="4">
        <v>0.25091000000000002</v>
      </c>
      <c r="E309" s="5">
        <v>5.5137800000000002E-3</v>
      </c>
      <c r="F309" s="5">
        <v>5.2173200000000001E-3</v>
      </c>
    </row>
    <row r="310" spans="1:6" x14ac:dyDescent="0.3">
      <c r="A310" s="15"/>
      <c r="B310" s="1"/>
      <c r="C310" s="1">
        <v>510.77</v>
      </c>
      <c r="D310" s="18" t="s">
        <v>82</v>
      </c>
      <c r="E310" s="5"/>
      <c r="F310" s="5"/>
    </row>
    <row r="311" spans="1:6" x14ac:dyDescent="0.3">
      <c r="A311" s="15"/>
      <c r="B311" s="1"/>
      <c r="C311" s="1">
        <v>860.56</v>
      </c>
      <c r="D311" s="4">
        <v>2.9409999999999999E-2</v>
      </c>
      <c r="E311" s="5">
        <v>2.3293099999999998E-3</v>
      </c>
      <c r="F311" s="5">
        <v>3.7192200000000001E-3</v>
      </c>
    </row>
    <row r="312" spans="1:6" x14ac:dyDescent="0.3">
      <c r="A312" s="15">
        <v>27</v>
      </c>
      <c r="B312" s="1" t="s">
        <v>7</v>
      </c>
      <c r="C312" s="1">
        <v>351.93</v>
      </c>
      <c r="D312" s="4">
        <v>0.68318999999999996</v>
      </c>
      <c r="E312" s="5">
        <v>9.5618300000000003E-3</v>
      </c>
      <c r="F312" s="4">
        <v>1.1129999999999999E-2</v>
      </c>
    </row>
    <row r="313" spans="1:6" x14ac:dyDescent="0.3">
      <c r="A313" s="15"/>
      <c r="B313" s="1"/>
      <c r="C313" s="1">
        <v>295.22000000000003</v>
      </c>
      <c r="D313" s="4">
        <v>0.40194000000000002</v>
      </c>
      <c r="E313" s="5">
        <v>8.9007300000000008E-3</v>
      </c>
      <c r="F313" s="4">
        <v>1.438E-2</v>
      </c>
    </row>
    <row r="314" spans="1:6" x14ac:dyDescent="0.3">
      <c r="A314" s="15"/>
      <c r="B314" s="1" t="s">
        <v>8</v>
      </c>
      <c r="C314" s="1">
        <v>609.32000000000005</v>
      </c>
      <c r="D314" s="4">
        <v>0.47633999999999999</v>
      </c>
      <c r="E314" s="5">
        <v>7.7344900000000001E-3</v>
      </c>
      <c r="F314" s="5">
        <v>8.0556499999999993E-3</v>
      </c>
    </row>
    <row r="315" spans="1:6" x14ac:dyDescent="0.3">
      <c r="A315" s="15"/>
      <c r="B315" s="1"/>
      <c r="C315" s="1">
        <v>1764.49</v>
      </c>
      <c r="D315" s="4">
        <v>7.0529999999999995E-2</v>
      </c>
      <c r="E315" s="5">
        <v>2.9499399999999999E-3</v>
      </c>
      <c r="F315" s="5">
        <v>3.0389100000000001E-3</v>
      </c>
    </row>
    <row r="316" spans="1:6" x14ac:dyDescent="0.3">
      <c r="A316" s="15"/>
      <c r="B316" s="1"/>
      <c r="C316" s="1">
        <v>1120.29</v>
      </c>
      <c r="D316" s="4">
        <v>9.3310000000000004E-2</v>
      </c>
      <c r="E316" s="5">
        <v>3.5375599999999999E-3</v>
      </c>
      <c r="F316" s="5">
        <v>4.2148200000000002E-3</v>
      </c>
    </row>
    <row r="317" spans="1:6" x14ac:dyDescent="0.3">
      <c r="A317" s="15"/>
      <c r="B317" s="1" t="s">
        <v>9</v>
      </c>
      <c r="C317" s="1">
        <v>1460.82</v>
      </c>
      <c r="D317" s="4">
        <v>1.29E-2</v>
      </c>
      <c r="E317" s="5">
        <v>1.8052999999999999E-3</v>
      </c>
      <c r="F317" s="5">
        <v>3.31453E-3</v>
      </c>
    </row>
    <row r="318" spans="1:6" x14ac:dyDescent="0.3">
      <c r="A318" s="15"/>
      <c r="B318" s="1" t="s">
        <v>10</v>
      </c>
      <c r="C318" s="1">
        <v>238.63</v>
      </c>
      <c r="D318" s="4">
        <v>2.1761900000000001</v>
      </c>
      <c r="E318" s="4">
        <v>2.0490000000000001E-2</v>
      </c>
      <c r="F318" s="4">
        <v>2.2110000000000001E-2</v>
      </c>
    </row>
    <row r="319" spans="1:6" x14ac:dyDescent="0.3">
      <c r="A319" s="15"/>
      <c r="B319" s="1" t="s">
        <v>11</v>
      </c>
      <c r="C319" s="1">
        <v>911.21</v>
      </c>
      <c r="D319" s="4">
        <v>0.44834000000000002</v>
      </c>
      <c r="E319" s="5">
        <v>7.0738099999999998E-3</v>
      </c>
      <c r="F319" s="5">
        <v>5.3310099999999997E-3</v>
      </c>
    </row>
    <row r="320" spans="1:6" x14ac:dyDescent="0.3">
      <c r="A320" s="15"/>
      <c r="B320" s="1"/>
      <c r="C320" s="1">
        <v>968.97</v>
      </c>
      <c r="D320" s="4">
        <v>0.26368999999999998</v>
      </c>
      <c r="E320" s="5">
        <v>5.7120299999999999E-3</v>
      </c>
      <c r="F320" s="5">
        <v>5.8528900000000003E-3</v>
      </c>
    </row>
    <row r="321" spans="1:6" x14ac:dyDescent="0.3">
      <c r="A321" s="15"/>
      <c r="B321" s="1"/>
      <c r="C321" s="1">
        <v>338.32</v>
      </c>
      <c r="D321" s="4">
        <v>0.47669</v>
      </c>
      <c r="E321" s="4">
        <v>1.001E-2</v>
      </c>
      <c r="F321" s="4">
        <v>1.6920000000000001E-2</v>
      </c>
    </row>
    <row r="322" spans="1:6" x14ac:dyDescent="0.3">
      <c r="A322" s="15"/>
      <c r="B322" s="1" t="s">
        <v>12</v>
      </c>
      <c r="C322" s="1">
        <v>2614.5300000000002</v>
      </c>
      <c r="D322" s="4">
        <v>0.22566</v>
      </c>
      <c r="E322" s="5">
        <v>4.8019600000000001E-3</v>
      </c>
      <c r="F322" s="6">
        <v>1.6667699999999999E-3</v>
      </c>
    </row>
    <row r="323" spans="1:6" x14ac:dyDescent="0.3">
      <c r="A323" s="15"/>
      <c r="B323" s="1"/>
      <c r="C323" s="1">
        <v>583.19000000000005</v>
      </c>
      <c r="D323" s="4">
        <v>0.68293999999999999</v>
      </c>
      <c r="E323" s="5">
        <v>9.0665599999999996E-3</v>
      </c>
      <c r="F323" s="5">
        <v>8.5406000000000006E-3</v>
      </c>
    </row>
    <row r="324" spans="1:6" x14ac:dyDescent="0.3">
      <c r="A324" s="15"/>
      <c r="B324" s="1"/>
      <c r="C324" s="1">
        <v>510.77</v>
      </c>
      <c r="D324" s="4">
        <v>0.22264</v>
      </c>
      <c r="E324" s="5">
        <v>6.1130300000000002E-3</v>
      </c>
      <c r="F324" s="5">
        <v>8.9575000000000002E-3</v>
      </c>
    </row>
    <row r="325" spans="1:6" x14ac:dyDescent="0.3">
      <c r="A325" s="15"/>
      <c r="B325" s="1"/>
      <c r="C325" s="1">
        <v>860.56</v>
      </c>
      <c r="D325" s="4">
        <v>7.9119999999999996E-2</v>
      </c>
      <c r="E325" s="5">
        <v>3.5161300000000001E-3</v>
      </c>
      <c r="F325" s="5">
        <v>4.9029399999999997E-3</v>
      </c>
    </row>
    <row r="326" spans="1:6" x14ac:dyDescent="0.3">
      <c r="A326" s="21">
        <v>28</v>
      </c>
      <c r="B326" s="1" t="s">
        <v>7</v>
      </c>
      <c r="C326" s="1">
        <v>351.93</v>
      </c>
      <c r="D326" s="4">
        <v>5.8630000000000002E-2</v>
      </c>
      <c r="E326" s="5">
        <v>3.1053999999999999E-3</v>
      </c>
      <c r="F326" s="5">
        <v>4.50915E-3</v>
      </c>
    </row>
    <row r="327" spans="1:6" x14ac:dyDescent="0.3">
      <c r="A327" s="15"/>
      <c r="B327" s="1"/>
      <c r="C327" s="1">
        <v>295.22000000000003</v>
      </c>
      <c r="D327" s="4">
        <v>3.5990000000000001E-2</v>
      </c>
      <c r="E327" s="5">
        <v>3.0185199999999998E-3</v>
      </c>
      <c r="F327" s="5">
        <v>5.4212799999999997E-3</v>
      </c>
    </row>
    <row r="328" spans="1:6" x14ac:dyDescent="0.3">
      <c r="A328" s="15"/>
      <c r="B328" s="1" t="s">
        <v>8</v>
      </c>
      <c r="C328" s="1">
        <v>609.32000000000005</v>
      </c>
      <c r="D328" s="4">
        <v>4.3549999999999998E-2</v>
      </c>
      <c r="E328" s="5">
        <v>2.47934E-3</v>
      </c>
      <c r="F328" s="5">
        <v>3.1590500000000001E-3</v>
      </c>
    </row>
    <row r="329" spans="1:6" x14ac:dyDescent="0.3">
      <c r="A329" s="15"/>
      <c r="B329" s="1"/>
      <c r="C329" s="1">
        <v>1764.49</v>
      </c>
      <c r="D329" s="19" t="s">
        <v>83</v>
      </c>
      <c r="E329" s="1"/>
      <c r="F329" s="1"/>
    </row>
    <row r="330" spans="1:6" x14ac:dyDescent="0.3">
      <c r="A330" s="15"/>
      <c r="B330" s="1"/>
      <c r="C330" s="1">
        <v>1120.29</v>
      </c>
      <c r="D330" s="1" t="s">
        <v>84</v>
      </c>
      <c r="E330" s="1"/>
      <c r="F330" s="1"/>
    </row>
    <row r="331" spans="1:6" x14ac:dyDescent="0.3">
      <c r="A331" s="15"/>
      <c r="B331" s="1" t="s">
        <v>9</v>
      </c>
      <c r="C331" s="1">
        <v>1460.82</v>
      </c>
      <c r="D331" s="19" t="s">
        <v>85</v>
      </c>
      <c r="E331" s="1"/>
      <c r="F331" s="1"/>
    </row>
    <row r="332" spans="1:6" x14ac:dyDescent="0.3">
      <c r="A332" s="15"/>
      <c r="B332" s="1" t="s">
        <v>10</v>
      </c>
      <c r="C332" s="1">
        <v>238.63</v>
      </c>
      <c r="D332" s="4">
        <v>0.18329000000000001</v>
      </c>
      <c r="E332" s="5">
        <v>5.2509599999999998E-3</v>
      </c>
      <c r="F332" s="5">
        <v>6.5006999999999999E-3</v>
      </c>
    </row>
    <row r="333" spans="1:6" x14ac:dyDescent="0.3">
      <c r="A333" s="15"/>
      <c r="B333" s="1" t="s">
        <v>11</v>
      </c>
      <c r="C333" s="1">
        <v>911.21</v>
      </c>
      <c r="D333" s="18" t="s">
        <v>86</v>
      </c>
      <c r="E333" s="5"/>
      <c r="F333" s="5"/>
    </row>
    <row r="334" spans="1:6" x14ac:dyDescent="0.3">
      <c r="A334" s="15"/>
      <c r="B334" s="1"/>
      <c r="C334" s="1">
        <v>968.97</v>
      </c>
      <c r="D334" s="18" t="s">
        <v>87</v>
      </c>
      <c r="E334" s="5"/>
      <c r="F334" s="5"/>
    </row>
    <row r="335" spans="1:6" x14ac:dyDescent="0.3">
      <c r="A335" s="15"/>
      <c r="B335" s="1"/>
      <c r="C335" s="1">
        <v>338.32</v>
      </c>
      <c r="D335" s="4">
        <v>3.669E-2</v>
      </c>
      <c r="E335" s="5">
        <v>2.73931E-3</v>
      </c>
      <c r="F335" s="5">
        <v>4.5362299999999996E-3</v>
      </c>
    </row>
    <row r="336" spans="1:6" x14ac:dyDescent="0.3">
      <c r="A336" s="15"/>
      <c r="B336" s="1" t="s">
        <v>12</v>
      </c>
      <c r="C336" s="1">
        <v>2614.5300000000002</v>
      </c>
      <c r="D336" s="18" t="s">
        <v>88</v>
      </c>
      <c r="E336" s="1"/>
      <c r="F336" s="1"/>
    </row>
    <row r="337" spans="1:6" x14ac:dyDescent="0.3">
      <c r="A337" s="15"/>
      <c r="B337" s="1"/>
      <c r="C337" s="1">
        <v>583.19000000000005</v>
      </c>
      <c r="D337" s="18" t="s">
        <v>89</v>
      </c>
      <c r="E337" s="5"/>
      <c r="F337" s="5"/>
    </row>
    <row r="338" spans="1:6" x14ac:dyDescent="0.3">
      <c r="A338" s="15"/>
      <c r="B338" s="1"/>
      <c r="C338" s="1">
        <v>510.77</v>
      </c>
      <c r="D338" s="4">
        <v>3.8379999999999997E-2</v>
      </c>
      <c r="E338" s="5">
        <v>2.5062700000000001E-3</v>
      </c>
      <c r="F338" s="5">
        <v>3.6263300000000001E-3</v>
      </c>
    </row>
    <row r="339" spans="1:6" x14ac:dyDescent="0.3">
      <c r="A339" s="15"/>
      <c r="B339" s="1"/>
      <c r="C339" s="1">
        <v>860.56</v>
      </c>
      <c r="D339" s="5">
        <v>6.05539975E-3</v>
      </c>
      <c r="E339" s="5">
        <v>1.1943399999999999E-3</v>
      </c>
      <c r="F339" s="5">
        <v>2.1419199999999998E-3</v>
      </c>
    </row>
    <row r="340" spans="1:6" x14ac:dyDescent="0.3">
      <c r="A340" s="21">
        <v>30</v>
      </c>
      <c r="B340" s="1" t="s">
        <v>7</v>
      </c>
      <c r="C340" s="1">
        <v>351.93</v>
      </c>
      <c r="D340" s="18" t="s">
        <v>90</v>
      </c>
      <c r="E340" s="5"/>
      <c r="F340" s="5"/>
    </row>
    <row r="341" spans="1:6" x14ac:dyDescent="0.3">
      <c r="A341" s="15"/>
      <c r="B341" s="1"/>
      <c r="C341" s="1">
        <v>295.22000000000003</v>
      </c>
      <c r="D341" s="4">
        <v>1.221E-2</v>
      </c>
      <c r="E341" s="5">
        <v>1.7370599999999999E-3</v>
      </c>
      <c r="F341" s="5">
        <v>3.1429600000000002E-3</v>
      </c>
    </row>
    <row r="342" spans="1:6" x14ac:dyDescent="0.3">
      <c r="A342" s="15"/>
      <c r="B342" s="1" t="s">
        <v>8</v>
      </c>
      <c r="C342" s="1">
        <v>609.32000000000005</v>
      </c>
      <c r="D342" s="19" t="s">
        <v>91</v>
      </c>
      <c r="E342" s="1"/>
      <c r="F342" s="1"/>
    </row>
    <row r="343" spans="1:6" x14ac:dyDescent="0.3">
      <c r="A343" s="15"/>
      <c r="B343" s="1"/>
      <c r="C343" s="1">
        <v>1764.49</v>
      </c>
      <c r="D343" s="19" t="s">
        <v>92</v>
      </c>
      <c r="E343" s="1"/>
      <c r="F343" s="1"/>
    </row>
    <row r="344" spans="1:6" x14ac:dyDescent="0.3">
      <c r="A344" s="15"/>
      <c r="B344" s="1"/>
      <c r="C344" s="1">
        <v>1120.29</v>
      </c>
      <c r="D344" s="1" t="s">
        <v>93</v>
      </c>
      <c r="E344" s="1"/>
      <c r="F344" s="1"/>
    </row>
    <row r="345" spans="1:6" x14ac:dyDescent="0.3">
      <c r="A345" s="15"/>
      <c r="B345" s="1" t="s">
        <v>9</v>
      </c>
      <c r="C345" s="1">
        <v>1460.82</v>
      </c>
      <c r="D345" s="1" t="s">
        <v>94</v>
      </c>
      <c r="E345" s="1"/>
      <c r="F345" s="1"/>
    </row>
    <row r="346" spans="1:6" x14ac:dyDescent="0.3">
      <c r="A346" s="15"/>
      <c r="B346" s="1" t="s">
        <v>10</v>
      </c>
      <c r="C346" s="1">
        <v>238.63</v>
      </c>
      <c r="D346" s="4">
        <v>3.2640000000000002E-2</v>
      </c>
      <c r="E346" s="5">
        <v>2.5807500000000001E-3</v>
      </c>
      <c r="F346" s="5">
        <v>4.3367299999999996E-3</v>
      </c>
    </row>
    <row r="347" spans="1:6" x14ac:dyDescent="0.3">
      <c r="A347" s="15"/>
      <c r="B347" s="1" t="s">
        <v>11</v>
      </c>
      <c r="C347" s="1">
        <v>911.21</v>
      </c>
      <c r="D347" s="19" t="s">
        <v>95</v>
      </c>
      <c r="E347" s="1"/>
      <c r="F347" s="1"/>
    </row>
    <row r="348" spans="1:6" x14ac:dyDescent="0.3">
      <c r="A348" s="15"/>
      <c r="B348" s="1"/>
      <c r="C348" s="1">
        <v>968.97</v>
      </c>
      <c r="D348" s="19" t="s">
        <v>96</v>
      </c>
      <c r="E348" s="1"/>
      <c r="F348" s="1"/>
    </row>
    <row r="349" spans="1:6" x14ac:dyDescent="0.3">
      <c r="A349" s="15"/>
      <c r="B349" s="1"/>
      <c r="C349" s="1">
        <v>338.32</v>
      </c>
      <c r="D349" s="5">
        <v>4.4514955200000003E-3</v>
      </c>
      <c r="E349" s="5">
        <v>1.3223200000000001E-3</v>
      </c>
      <c r="F349" s="5">
        <v>2.6529700000000002E-3</v>
      </c>
    </row>
    <row r="350" spans="1:6" x14ac:dyDescent="0.3">
      <c r="A350" s="15"/>
      <c r="B350" s="1" t="s">
        <v>12</v>
      </c>
      <c r="C350" s="1">
        <v>2614.5300000000002</v>
      </c>
      <c r="D350" s="19" t="s">
        <v>97</v>
      </c>
      <c r="E350" s="1"/>
      <c r="F350" s="1"/>
    </row>
    <row r="351" spans="1:6" x14ac:dyDescent="0.3">
      <c r="A351" s="15"/>
      <c r="B351" s="1"/>
      <c r="C351" s="1">
        <v>583.19000000000005</v>
      </c>
      <c r="D351" s="4">
        <v>1.1169999999999999E-2</v>
      </c>
      <c r="E351" s="5">
        <v>1.43556E-3</v>
      </c>
      <c r="F351" s="5">
        <v>2.1902699999999998E-3</v>
      </c>
    </row>
    <row r="352" spans="1:6" x14ac:dyDescent="0.3">
      <c r="A352" s="15"/>
      <c r="B352" s="1"/>
      <c r="C352" s="1">
        <v>510.77</v>
      </c>
      <c r="D352" s="18" t="s">
        <v>98</v>
      </c>
      <c r="E352" s="1"/>
      <c r="F352" s="1"/>
    </row>
    <row r="353" spans="1:6" x14ac:dyDescent="0.3">
      <c r="A353" s="15"/>
      <c r="B353" s="22"/>
      <c r="C353" s="1">
        <v>860.56</v>
      </c>
      <c r="D353" s="1"/>
      <c r="E353" s="1"/>
      <c r="F353" s="1"/>
    </row>
    <row r="354" spans="1:6" x14ac:dyDescent="0.3">
      <c r="A354" s="21">
        <v>31</v>
      </c>
      <c r="B354" s="1" t="s">
        <v>7</v>
      </c>
      <c r="C354" s="1">
        <v>351.93</v>
      </c>
      <c r="D354" s="4">
        <v>2.487E-2</v>
      </c>
      <c r="E354" s="5">
        <v>2.0297499999999999E-3</v>
      </c>
      <c r="F354" s="5">
        <v>3.0080200000000001E-3</v>
      </c>
    </row>
    <row r="355" spans="1:6" x14ac:dyDescent="0.3">
      <c r="A355" s="15"/>
      <c r="B355" s="1"/>
      <c r="C355" s="1">
        <v>295.22000000000003</v>
      </c>
      <c r="D355" s="19" t="s">
        <v>99</v>
      </c>
      <c r="E355" s="5"/>
      <c r="F355" s="5"/>
    </row>
    <row r="356" spans="1:6" x14ac:dyDescent="0.3">
      <c r="A356" s="15"/>
      <c r="B356" s="1" t="s">
        <v>8</v>
      </c>
      <c r="C356" s="1">
        <v>609.32000000000005</v>
      </c>
      <c r="D356" s="4">
        <v>1.7500000000000002E-2</v>
      </c>
      <c r="E356" s="5">
        <v>1.7168000000000001E-3</v>
      </c>
      <c r="F356" s="5">
        <v>2.5732400000000001E-3</v>
      </c>
    </row>
    <row r="357" spans="1:6" x14ac:dyDescent="0.3">
      <c r="A357" s="15"/>
      <c r="B357" s="1"/>
      <c r="C357" s="1">
        <v>1764.49</v>
      </c>
      <c r="D357" s="19" t="s">
        <v>100</v>
      </c>
      <c r="E357" s="1"/>
      <c r="F357" s="1"/>
    </row>
    <row r="358" spans="1:6" x14ac:dyDescent="0.3">
      <c r="A358" s="15"/>
      <c r="B358" s="1"/>
      <c r="C358" s="1">
        <v>1120.29</v>
      </c>
      <c r="D358" s="19" t="s">
        <v>101</v>
      </c>
      <c r="E358" s="1"/>
      <c r="F358" s="1"/>
    </row>
    <row r="359" spans="1:6" x14ac:dyDescent="0.3">
      <c r="A359" s="15"/>
      <c r="B359" s="1" t="s">
        <v>9</v>
      </c>
      <c r="C359" s="1">
        <v>1460.82</v>
      </c>
      <c r="D359" s="19" t="s">
        <v>102</v>
      </c>
      <c r="E359" s="1"/>
      <c r="F359" s="1"/>
    </row>
    <row r="360" spans="1:6" x14ac:dyDescent="0.3">
      <c r="A360" s="15"/>
      <c r="B360" s="1" t="s">
        <v>10</v>
      </c>
      <c r="C360" s="1">
        <v>238.63</v>
      </c>
      <c r="D360" s="4">
        <v>6.164E-2</v>
      </c>
      <c r="E360" s="5">
        <v>3.1375399999999999E-3</v>
      </c>
      <c r="F360" s="7">
        <v>4.5126999999999997E-3</v>
      </c>
    </row>
    <row r="361" spans="1:6" x14ac:dyDescent="0.3">
      <c r="A361" s="15"/>
      <c r="B361" s="1" t="s">
        <v>11</v>
      </c>
      <c r="C361" s="1">
        <v>911.21</v>
      </c>
      <c r="D361" s="18" t="s">
        <v>103</v>
      </c>
      <c r="E361" s="5"/>
      <c r="F361" s="5"/>
    </row>
    <row r="362" spans="1:6" x14ac:dyDescent="0.3">
      <c r="A362" s="15"/>
      <c r="B362" s="1"/>
      <c r="C362" s="1">
        <v>968.97</v>
      </c>
      <c r="D362" s="19" t="s">
        <v>104</v>
      </c>
      <c r="E362" s="5"/>
      <c r="F362" s="5"/>
    </row>
    <row r="363" spans="1:6" x14ac:dyDescent="0.3">
      <c r="A363" s="15"/>
      <c r="B363" s="1"/>
      <c r="C363" s="1">
        <v>338.32</v>
      </c>
      <c r="D363" s="18" t="s">
        <v>105</v>
      </c>
      <c r="E363" s="5"/>
      <c r="F363" s="5"/>
    </row>
    <row r="364" spans="1:6" x14ac:dyDescent="0.3">
      <c r="A364" s="15"/>
      <c r="B364" s="1" t="s">
        <v>12</v>
      </c>
      <c r="C364" s="1">
        <v>2614.5300000000002</v>
      </c>
      <c r="D364" s="19" t="s">
        <v>106</v>
      </c>
      <c r="E364" s="1"/>
      <c r="F364" s="1"/>
    </row>
    <row r="365" spans="1:6" x14ac:dyDescent="0.3">
      <c r="A365" s="15"/>
      <c r="B365" s="1"/>
      <c r="C365" s="1">
        <v>583.19000000000005</v>
      </c>
      <c r="D365" s="19" t="s">
        <v>107</v>
      </c>
      <c r="E365" s="5"/>
      <c r="F365" s="5"/>
    </row>
    <row r="366" spans="1:6" x14ac:dyDescent="0.3">
      <c r="A366" s="15"/>
      <c r="B366" s="1"/>
      <c r="C366" s="1">
        <v>510.77</v>
      </c>
      <c r="D366" s="4">
        <v>2.4920000000000001E-2</v>
      </c>
      <c r="E366" s="5">
        <v>2.0500800000000001E-3</v>
      </c>
      <c r="F366" s="5">
        <v>3.0034100000000002E-3</v>
      </c>
    </row>
    <row r="367" spans="1:6" x14ac:dyDescent="0.3">
      <c r="A367" s="15"/>
      <c r="B367" s="22"/>
      <c r="C367" s="1">
        <v>860.56</v>
      </c>
      <c r="D367" s="1"/>
      <c r="E367" s="1"/>
      <c r="F367" s="1"/>
    </row>
    <row r="368" spans="1:6" x14ac:dyDescent="0.3">
      <c r="A368" s="21">
        <v>32</v>
      </c>
      <c r="B368" s="1" t="s">
        <v>7</v>
      </c>
      <c r="C368" s="1">
        <v>351.93</v>
      </c>
      <c r="D368" s="19" t="s">
        <v>108</v>
      </c>
      <c r="E368" s="1"/>
      <c r="F368" s="1"/>
    </row>
    <row r="369" spans="1:6" x14ac:dyDescent="0.3">
      <c r="A369" s="15"/>
      <c r="B369" s="1"/>
      <c r="C369" s="1">
        <v>295.22000000000003</v>
      </c>
      <c r="D369" s="4">
        <v>1.5610000000000001E-2</v>
      </c>
      <c r="E369" s="5">
        <v>1.9236800000000001E-3</v>
      </c>
      <c r="F369" s="5">
        <v>3.40866E-3</v>
      </c>
    </row>
    <row r="370" spans="1:6" x14ac:dyDescent="0.3">
      <c r="A370" s="15"/>
      <c r="B370" s="1" t="s">
        <v>8</v>
      </c>
      <c r="C370" s="1">
        <v>609.32000000000005</v>
      </c>
      <c r="D370" s="19" t="s">
        <v>109</v>
      </c>
      <c r="E370" s="1"/>
      <c r="F370" s="1"/>
    </row>
    <row r="371" spans="1:6" x14ac:dyDescent="0.3">
      <c r="A371" s="15"/>
      <c r="B371" s="1"/>
      <c r="C371" s="1">
        <v>1764.49</v>
      </c>
      <c r="D371" s="18" t="s">
        <v>110</v>
      </c>
      <c r="E371" s="1"/>
      <c r="F371" s="1"/>
    </row>
    <row r="372" spans="1:6" x14ac:dyDescent="0.3">
      <c r="A372" s="15"/>
      <c r="B372" s="22"/>
      <c r="C372" s="1">
        <v>1120.29</v>
      </c>
      <c r="D372" s="18" t="s">
        <v>111</v>
      </c>
      <c r="E372" s="1"/>
      <c r="F372" s="1"/>
    </row>
    <row r="373" spans="1:6" x14ac:dyDescent="0.3">
      <c r="A373" s="15"/>
      <c r="B373" s="1" t="s">
        <v>9</v>
      </c>
      <c r="C373" s="1">
        <v>1460.82</v>
      </c>
      <c r="D373" s="19" t="s">
        <v>112</v>
      </c>
      <c r="E373" s="1"/>
      <c r="F373" s="1"/>
    </row>
    <row r="374" spans="1:6" x14ac:dyDescent="0.3">
      <c r="A374" s="15"/>
      <c r="B374" s="1" t="s">
        <v>10</v>
      </c>
      <c r="C374" s="1">
        <v>238.63</v>
      </c>
      <c r="D374" s="4">
        <v>5.9569999999999998E-2</v>
      </c>
      <c r="E374" s="5">
        <v>3.1157799999999999E-3</v>
      </c>
      <c r="F374" s="5">
        <v>4.2985300000000001E-3</v>
      </c>
    </row>
    <row r="375" spans="1:6" x14ac:dyDescent="0.3">
      <c r="A375" s="15"/>
      <c r="B375" s="1" t="s">
        <v>11</v>
      </c>
      <c r="C375" s="1">
        <v>911.21</v>
      </c>
      <c r="D375" s="19" t="s">
        <v>113</v>
      </c>
      <c r="E375" s="1"/>
      <c r="F375" s="1"/>
    </row>
    <row r="376" spans="1:6" x14ac:dyDescent="0.3">
      <c r="A376" s="15"/>
      <c r="B376" s="1"/>
      <c r="C376" s="1">
        <v>968.97</v>
      </c>
      <c r="D376" s="18" t="s">
        <v>114</v>
      </c>
      <c r="E376" s="1"/>
      <c r="F376" s="1"/>
    </row>
    <row r="377" spans="1:6" x14ac:dyDescent="0.3">
      <c r="A377" s="15"/>
      <c r="B377" s="1"/>
      <c r="C377" s="1">
        <v>338.32</v>
      </c>
      <c r="D377" s="19" t="s">
        <v>115</v>
      </c>
      <c r="E377" s="5"/>
      <c r="F377" s="5"/>
    </row>
    <row r="378" spans="1:6" x14ac:dyDescent="0.3">
      <c r="A378" s="15"/>
      <c r="B378" s="1" t="s">
        <v>12</v>
      </c>
      <c r="C378" s="1">
        <v>2614.5300000000002</v>
      </c>
      <c r="D378" s="19" t="s">
        <v>116</v>
      </c>
      <c r="E378" s="1"/>
      <c r="F378" s="1"/>
    </row>
    <row r="379" spans="1:6" x14ac:dyDescent="0.3">
      <c r="A379" s="15"/>
      <c r="B379" s="1"/>
      <c r="C379" s="1">
        <v>583.19000000000005</v>
      </c>
      <c r="D379" s="19" t="s">
        <v>117</v>
      </c>
      <c r="E379" s="5"/>
      <c r="F379" s="5"/>
    </row>
    <row r="380" spans="1:6" x14ac:dyDescent="0.3">
      <c r="A380" s="15"/>
      <c r="B380" s="1"/>
      <c r="C380" s="1">
        <v>510.77</v>
      </c>
      <c r="D380" s="18" t="s">
        <v>118</v>
      </c>
      <c r="E380" s="5"/>
      <c r="F380" s="5"/>
    </row>
    <row r="381" spans="1:6" x14ac:dyDescent="0.3">
      <c r="A381" s="15"/>
      <c r="B381" s="22"/>
      <c r="C381" s="1">
        <v>860.56</v>
      </c>
      <c r="D381" s="19" t="s">
        <v>119</v>
      </c>
      <c r="E381" s="5"/>
      <c r="F381" s="5"/>
    </row>
    <row r="382" spans="1:6" x14ac:dyDescent="0.3">
      <c r="A382" s="21">
        <v>33</v>
      </c>
      <c r="B382" s="1" t="s">
        <v>7</v>
      </c>
      <c r="C382" s="1">
        <v>351.93</v>
      </c>
      <c r="D382" s="4">
        <v>4.4150000000000002E-2</v>
      </c>
      <c r="E382" s="5">
        <v>2.5749900000000001E-3</v>
      </c>
      <c r="F382" s="5">
        <v>3.4120299999999999E-3</v>
      </c>
    </row>
    <row r="383" spans="1:6" x14ac:dyDescent="0.3">
      <c r="A383" s="15"/>
      <c r="B383" s="1"/>
      <c r="C383" s="1">
        <v>295.22000000000003</v>
      </c>
      <c r="D383" s="19" t="s">
        <v>120</v>
      </c>
      <c r="E383" s="5"/>
      <c r="F383" s="5"/>
    </row>
    <row r="384" spans="1:6" x14ac:dyDescent="0.3">
      <c r="A384" s="15"/>
      <c r="B384" s="1" t="s">
        <v>8</v>
      </c>
      <c r="C384" s="1">
        <v>609.32000000000005</v>
      </c>
      <c r="D384" s="4">
        <v>3.1710000000000002E-2</v>
      </c>
      <c r="E384" s="5">
        <v>2.0690000000000001E-3</v>
      </c>
      <c r="F384" s="5">
        <v>2.4415299999999999E-3</v>
      </c>
    </row>
    <row r="385" spans="1:6" x14ac:dyDescent="0.3">
      <c r="A385" s="15"/>
      <c r="B385" s="1"/>
      <c r="C385" s="1">
        <v>1764.49</v>
      </c>
      <c r="D385" s="18" t="s">
        <v>121</v>
      </c>
      <c r="E385" s="1"/>
      <c r="F385" s="1"/>
    </row>
    <row r="386" spans="1:6" x14ac:dyDescent="0.3">
      <c r="A386" s="15"/>
      <c r="B386" s="22"/>
      <c r="C386" s="1">
        <v>1120.29</v>
      </c>
      <c r="D386" s="19" t="s">
        <v>122</v>
      </c>
      <c r="E386" s="1"/>
      <c r="F386" s="1"/>
    </row>
    <row r="387" spans="1:6" x14ac:dyDescent="0.3">
      <c r="A387" s="15"/>
      <c r="B387" s="22" t="s">
        <v>9</v>
      </c>
      <c r="C387" s="1">
        <v>1460.82</v>
      </c>
      <c r="D387" s="5">
        <v>4.6565056899999999E-3</v>
      </c>
      <c r="E387" s="5">
        <v>1.0084099999999999E-3</v>
      </c>
      <c r="F387" s="5">
        <v>1.7167599999999999E-3</v>
      </c>
    </row>
    <row r="388" spans="1:6" x14ac:dyDescent="0.3">
      <c r="A388" s="15"/>
      <c r="B388" s="1" t="s">
        <v>10</v>
      </c>
      <c r="C388" s="1">
        <v>238.63</v>
      </c>
      <c r="D388" s="4">
        <v>9.0969999999999995E-2</v>
      </c>
      <c r="E388" s="5">
        <v>3.8107100000000001E-3</v>
      </c>
      <c r="F388" s="5">
        <v>5.3861999999999998E-3</v>
      </c>
    </row>
    <row r="389" spans="1:6" x14ac:dyDescent="0.3">
      <c r="A389" s="15"/>
      <c r="B389" s="1" t="s">
        <v>11</v>
      </c>
      <c r="C389" s="1">
        <v>911.21</v>
      </c>
      <c r="D389" s="19" t="s">
        <v>123</v>
      </c>
      <c r="E389" s="5"/>
      <c r="F389" s="5"/>
    </row>
    <row r="390" spans="1:6" x14ac:dyDescent="0.3">
      <c r="A390" s="15"/>
      <c r="B390" s="1"/>
      <c r="C390" s="1">
        <v>968.97</v>
      </c>
      <c r="D390" s="19" t="s">
        <v>124</v>
      </c>
      <c r="E390" s="5"/>
      <c r="F390" s="5"/>
    </row>
    <row r="391" spans="1:6" x14ac:dyDescent="0.3">
      <c r="A391" s="15"/>
      <c r="B391" s="1"/>
      <c r="C391" s="1">
        <v>338.32</v>
      </c>
      <c r="D391" s="4">
        <v>1.9550000000000001E-2</v>
      </c>
      <c r="E391" s="5">
        <v>2.0021800000000001E-3</v>
      </c>
      <c r="F391" s="5">
        <v>3.3037499999999998E-3</v>
      </c>
    </row>
    <row r="392" spans="1:6" x14ac:dyDescent="0.3">
      <c r="A392" s="15"/>
      <c r="B392" s="1" t="s">
        <v>12</v>
      </c>
      <c r="C392" s="1">
        <v>2614.5300000000002</v>
      </c>
      <c r="D392" s="19" t="s">
        <v>125</v>
      </c>
      <c r="E392" s="1"/>
      <c r="F392" s="1"/>
    </row>
    <row r="393" spans="1:6" x14ac:dyDescent="0.3">
      <c r="A393" s="15"/>
      <c r="B393" s="1"/>
      <c r="C393" s="1">
        <v>583.19000000000005</v>
      </c>
      <c r="D393" s="4">
        <v>2.903E-2</v>
      </c>
      <c r="E393" s="5">
        <v>2.0561500000000001E-3</v>
      </c>
      <c r="F393" s="5">
        <v>2.7218300000000002E-3</v>
      </c>
    </row>
    <row r="394" spans="1:6" x14ac:dyDescent="0.3">
      <c r="A394" s="15"/>
      <c r="B394" s="1"/>
      <c r="C394" s="1">
        <v>510.77</v>
      </c>
      <c r="D394" s="4">
        <v>3.0360000000000002E-2</v>
      </c>
      <c r="E394" s="5">
        <v>2.2349100000000001E-3</v>
      </c>
      <c r="F394" s="5">
        <v>3.3148800000000001E-3</v>
      </c>
    </row>
    <row r="395" spans="1:6" x14ac:dyDescent="0.3">
      <c r="A395" s="15"/>
      <c r="B395" s="1"/>
      <c r="C395" s="1">
        <v>860.56</v>
      </c>
      <c r="D395" s="19" t="s">
        <v>126</v>
      </c>
      <c r="E395" s="1"/>
      <c r="F395" s="1"/>
    </row>
    <row r="396" spans="1:6" x14ac:dyDescent="0.3">
      <c r="A396" s="21">
        <v>34</v>
      </c>
      <c r="B396" s="1" t="s">
        <v>7</v>
      </c>
      <c r="C396" s="1">
        <v>351.93</v>
      </c>
      <c r="D396" s="4">
        <v>4.8140000000000002E-2</v>
      </c>
      <c r="E396" s="5">
        <v>2.6184200000000002E-3</v>
      </c>
      <c r="F396" s="5">
        <v>3.2967700000000001E-3</v>
      </c>
    </row>
    <row r="397" spans="1:6" x14ac:dyDescent="0.3">
      <c r="A397" s="15"/>
      <c r="B397" s="1"/>
      <c r="C397" s="1">
        <v>295.22000000000003</v>
      </c>
      <c r="D397" s="4">
        <v>2.9829999999999999E-2</v>
      </c>
      <c r="E397" s="5">
        <v>2.6308400000000002E-3</v>
      </c>
      <c r="F397" s="5">
        <v>4.6658100000000003E-3</v>
      </c>
    </row>
    <row r="398" spans="1:6" x14ac:dyDescent="0.3">
      <c r="A398" s="15"/>
      <c r="B398" s="1" t="s">
        <v>8</v>
      </c>
      <c r="C398" s="1">
        <v>609.32000000000005</v>
      </c>
      <c r="D398" s="4">
        <v>3.2489999999999998E-2</v>
      </c>
      <c r="E398" s="5">
        <v>2.12656E-3</v>
      </c>
      <c r="F398" s="5">
        <v>2.6512300000000001E-3</v>
      </c>
    </row>
    <row r="399" spans="1:6" x14ac:dyDescent="0.3">
      <c r="A399" s="15"/>
      <c r="B399" s="1"/>
      <c r="C399" s="1">
        <v>1764.49</v>
      </c>
      <c r="D399" s="18" t="s">
        <v>127</v>
      </c>
      <c r="E399" s="1"/>
      <c r="F399" s="1"/>
    </row>
    <row r="400" spans="1:6" x14ac:dyDescent="0.3">
      <c r="A400" s="15"/>
      <c r="B400" s="1"/>
      <c r="C400" s="1">
        <v>1120.29</v>
      </c>
      <c r="D400" s="5">
        <v>7.2695336999999997E-3</v>
      </c>
      <c r="E400" s="5">
        <v>1.1121600000000001E-3</v>
      </c>
      <c r="F400" s="5">
        <v>1.71265E-3</v>
      </c>
    </row>
    <row r="401" spans="1:6" x14ac:dyDescent="0.3">
      <c r="A401" s="15"/>
      <c r="B401" s="1" t="s">
        <v>9</v>
      </c>
      <c r="C401" s="1">
        <v>1460.82</v>
      </c>
      <c r="D401" s="18" t="s">
        <v>128</v>
      </c>
      <c r="E401" s="1"/>
      <c r="F401" s="1"/>
    </row>
    <row r="402" spans="1:6" x14ac:dyDescent="0.3">
      <c r="A402" s="15"/>
      <c r="B402" s="1" t="s">
        <v>10</v>
      </c>
      <c r="C402" s="1">
        <v>238.63</v>
      </c>
      <c r="D402" s="19" t="s">
        <v>129</v>
      </c>
      <c r="E402" s="5"/>
      <c r="F402" s="5"/>
    </row>
    <row r="403" spans="1:6" x14ac:dyDescent="0.3">
      <c r="A403" s="15"/>
      <c r="B403" s="1" t="s">
        <v>11</v>
      </c>
      <c r="C403" s="1">
        <v>911.21</v>
      </c>
      <c r="D403" s="19" t="s">
        <v>167</v>
      </c>
      <c r="E403" s="1"/>
      <c r="F403" s="1"/>
    </row>
    <row r="404" spans="1:6" x14ac:dyDescent="0.3">
      <c r="A404" s="15"/>
      <c r="B404" s="1"/>
      <c r="C404" s="1">
        <v>968.97</v>
      </c>
      <c r="D404" s="19" t="s">
        <v>168</v>
      </c>
      <c r="E404" s="1"/>
      <c r="F404" s="1"/>
    </row>
    <row r="405" spans="1:6" x14ac:dyDescent="0.3">
      <c r="A405" s="15"/>
      <c r="B405" s="1"/>
      <c r="C405" s="1">
        <v>338.32</v>
      </c>
      <c r="D405" s="4">
        <v>2.0809999999999999E-2</v>
      </c>
      <c r="E405" s="5">
        <v>2.1058399999999999E-3</v>
      </c>
      <c r="F405" s="5">
        <v>3.53973E-3</v>
      </c>
    </row>
    <row r="406" spans="1:6" x14ac:dyDescent="0.3">
      <c r="A406" s="15"/>
      <c r="B406" s="1" t="s">
        <v>12</v>
      </c>
      <c r="C406" s="1">
        <v>2614.5300000000002</v>
      </c>
      <c r="D406" s="19" t="s">
        <v>170</v>
      </c>
      <c r="E406" s="1"/>
      <c r="F406" s="1"/>
    </row>
    <row r="407" spans="1:6" x14ac:dyDescent="0.3">
      <c r="A407" s="15"/>
      <c r="B407" s="1"/>
      <c r="C407" s="1">
        <v>583.19000000000005</v>
      </c>
      <c r="D407" s="4">
        <v>2.9069999999999999E-2</v>
      </c>
      <c r="E407" s="5">
        <v>2.1572200000000001E-3</v>
      </c>
      <c r="F407" s="5">
        <v>3.1008799999999999E-3</v>
      </c>
    </row>
    <row r="408" spans="1:6" x14ac:dyDescent="0.3">
      <c r="A408" s="15"/>
      <c r="B408" s="1"/>
      <c r="C408" s="1">
        <v>510.77</v>
      </c>
      <c r="D408" s="4">
        <v>3.0460000000000001E-2</v>
      </c>
      <c r="E408" s="5">
        <v>2.2734700000000001E-3</v>
      </c>
      <c r="F408" s="5">
        <v>3.4214599999999999E-3</v>
      </c>
    </row>
    <row r="409" spans="1:6" x14ac:dyDescent="0.3">
      <c r="A409" s="15"/>
      <c r="B409" s="1"/>
      <c r="C409" s="1">
        <v>860.56</v>
      </c>
      <c r="D409" s="19" t="s">
        <v>169</v>
      </c>
      <c r="E409" s="1"/>
      <c r="F409" s="1"/>
    </row>
    <row r="410" spans="1:6" x14ac:dyDescent="0.3">
      <c r="A410" s="21">
        <v>36</v>
      </c>
      <c r="B410" s="1" t="s">
        <v>7</v>
      </c>
      <c r="C410" s="1">
        <v>351.93</v>
      </c>
      <c r="D410" s="4">
        <v>0.97270000000000001</v>
      </c>
      <c r="E410" s="4">
        <v>1.099E-2</v>
      </c>
      <c r="F410" s="4">
        <v>1.123E-2</v>
      </c>
    </row>
    <row r="411" spans="1:6" x14ac:dyDescent="0.3">
      <c r="A411" s="15"/>
      <c r="B411" s="1"/>
      <c r="C411" s="1">
        <v>295.22000000000003</v>
      </c>
      <c r="D411" s="4">
        <v>0.57691000000000003</v>
      </c>
      <c r="E411" s="5">
        <v>9.7216100000000003E-3</v>
      </c>
      <c r="F411" s="4">
        <v>1.374E-2</v>
      </c>
    </row>
    <row r="412" spans="1:6" x14ac:dyDescent="0.3">
      <c r="A412" s="15"/>
      <c r="B412" s="1" t="s">
        <v>8</v>
      </c>
      <c r="C412" s="1">
        <v>609.32000000000005</v>
      </c>
      <c r="D412" s="4">
        <v>0.69674999999999998</v>
      </c>
      <c r="E412" s="5">
        <v>8.8737599999999996E-3</v>
      </c>
      <c r="F412" s="6">
        <v>7.0351500000000004E-3</v>
      </c>
    </row>
    <row r="413" spans="1:6" x14ac:dyDescent="0.3">
      <c r="A413" s="15"/>
      <c r="B413" s="1"/>
      <c r="C413" s="1">
        <v>1764.49</v>
      </c>
      <c r="D413" s="4">
        <v>0.10156</v>
      </c>
      <c r="E413" s="5">
        <v>3.4562299999999998E-3</v>
      </c>
      <c r="F413" s="5">
        <v>3.1053399999999998E-3</v>
      </c>
    </row>
    <row r="414" spans="1:6" x14ac:dyDescent="0.3">
      <c r="A414" s="15"/>
      <c r="B414" s="1"/>
      <c r="C414" s="1">
        <v>1120.29</v>
      </c>
      <c r="D414" s="4">
        <v>0.13891000000000001</v>
      </c>
      <c r="E414" s="5">
        <v>4.1848099999999997E-3</v>
      </c>
      <c r="F414" s="5">
        <v>4.4734700000000002E-3</v>
      </c>
    </row>
    <row r="415" spans="1:6" x14ac:dyDescent="0.3">
      <c r="A415" s="15"/>
      <c r="B415" s="1" t="s">
        <v>9</v>
      </c>
      <c r="C415" s="1">
        <v>1460.82</v>
      </c>
      <c r="D415" s="19" t="s">
        <v>164</v>
      </c>
      <c r="E415" s="1"/>
      <c r="F415" s="1"/>
    </row>
    <row r="416" spans="1:6" x14ac:dyDescent="0.3">
      <c r="A416" s="15"/>
      <c r="B416" s="1" t="s">
        <v>10</v>
      </c>
      <c r="C416" s="1">
        <v>238.63</v>
      </c>
      <c r="D416" s="4">
        <v>1.66917</v>
      </c>
      <c r="E416" s="4">
        <v>1.477E-2</v>
      </c>
      <c r="F416" s="4">
        <v>1.5959999999999998E-2</v>
      </c>
    </row>
    <row r="417" spans="1:6" x14ac:dyDescent="0.3">
      <c r="A417" s="15"/>
      <c r="B417" s="1" t="s">
        <v>11</v>
      </c>
      <c r="C417" s="1">
        <v>911.21</v>
      </c>
      <c r="D417" s="19" t="s">
        <v>165</v>
      </c>
      <c r="E417" s="5"/>
      <c r="F417" s="5"/>
    </row>
    <row r="418" spans="1:6" x14ac:dyDescent="0.3">
      <c r="A418" s="15"/>
      <c r="B418" s="1"/>
      <c r="C418" s="1">
        <v>968.97</v>
      </c>
      <c r="D418" s="4">
        <v>0.18181</v>
      </c>
      <c r="E418" s="5">
        <v>4.9568600000000004E-3</v>
      </c>
      <c r="F418" s="5">
        <v>5.9376400000000001E-3</v>
      </c>
    </row>
    <row r="419" spans="1:6" x14ac:dyDescent="0.3">
      <c r="A419" s="15"/>
      <c r="B419" s="1"/>
      <c r="C419" s="1">
        <v>338.32</v>
      </c>
      <c r="D419" s="4">
        <v>0.31696999999999997</v>
      </c>
      <c r="E419" s="5">
        <v>7.1472699999999998E-3</v>
      </c>
      <c r="F419" s="5">
        <v>9.8795600000000008E-3</v>
      </c>
    </row>
    <row r="420" spans="1:6" x14ac:dyDescent="0.3">
      <c r="A420" s="15"/>
      <c r="B420" s="1" t="s">
        <v>12</v>
      </c>
      <c r="C420" s="1">
        <v>2614.5300000000002</v>
      </c>
      <c r="D420" s="4">
        <v>0.15751000000000001</v>
      </c>
      <c r="E420" s="5">
        <v>4.0355699999999996E-3</v>
      </c>
      <c r="F420" s="5">
        <v>1.7606200000000001E-3</v>
      </c>
    </row>
    <row r="421" spans="1:6" x14ac:dyDescent="0.3">
      <c r="A421" s="15"/>
      <c r="B421" s="1"/>
      <c r="C421" s="1">
        <v>583.19000000000005</v>
      </c>
      <c r="D421" s="4">
        <v>0.4854</v>
      </c>
      <c r="E421" s="5">
        <v>7.7211399999999996E-3</v>
      </c>
      <c r="F421" s="5">
        <v>7.68514E-3</v>
      </c>
    </row>
    <row r="422" spans="1:6" x14ac:dyDescent="0.3">
      <c r="A422" s="15"/>
      <c r="B422" s="1"/>
      <c r="C422" s="1">
        <v>510.77</v>
      </c>
      <c r="D422" s="4">
        <v>0.16642999999999999</v>
      </c>
      <c r="E422" s="5">
        <v>5.3757500000000003E-3</v>
      </c>
      <c r="F422" s="5">
        <v>8.1991800000000004E-3</v>
      </c>
    </row>
    <row r="423" spans="1:6" x14ac:dyDescent="0.3">
      <c r="A423" s="15"/>
      <c r="B423" s="1"/>
      <c r="C423" s="1">
        <v>860.56</v>
      </c>
      <c r="D423" s="19" t="s">
        <v>166</v>
      </c>
      <c r="E423" s="1"/>
      <c r="F423" s="1"/>
    </row>
    <row r="424" spans="1:6" x14ac:dyDescent="0.3">
      <c r="A424" s="15">
        <v>37</v>
      </c>
      <c r="B424" s="1" t="s">
        <v>7</v>
      </c>
      <c r="C424" s="1">
        <v>351.93</v>
      </c>
      <c r="D424" s="4">
        <v>3.2606299999999999</v>
      </c>
      <c r="E424" s="4">
        <v>1.9890000000000001E-2</v>
      </c>
      <c r="F424" s="4">
        <v>1.9279999999999999E-2</v>
      </c>
    </row>
    <row r="425" spans="1:6" x14ac:dyDescent="0.3">
      <c r="A425" s="15"/>
      <c r="B425" s="1"/>
      <c r="C425" s="1">
        <v>295.22000000000003</v>
      </c>
      <c r="D425" s="4">
        <v>1.91998</v>
      </c>
      <c r="E425" s="4">
        <v>1.9949999999999999E-2</v>
      </c>
      <c r="F425" s="4">
        <v>3.3360000000000001E-2</v>
      </c>
    </row>
    <row r="426" spans="1:6" x14ac:dyDescent="0.3">
      <c r="A426" s="15"/>
      <c r="B426" s="1" t="s">
        <v>8</v>
      </c>
      <c r="C426" s="1">
        <v>609.32000000000005</v>
      </c>
      <c r="D426" s="4">
        <v>2.2785199999999999</v>
      </c>
      <c r="E426" s="4">
        <v>1.6219999999999998E-2</v>
      </c>
      <c r="F426" s="4">
        <v>1.3809999999999999E-2</v>
      </c>
    </row>
    <row r="427" spans="1:6" x14ac:dyDescent="0.3">
      <c r="A427" s="15"/>
      <c r="B427" s="1"/>
      <c r="C427" s="1">
        <v>1764.49</v>
      </c>
      <c r="D427" s="4">
        <v>0.35510999999999998</v>
      </c>
      <c r="E427" s="5">
        <v>6.3442999999999998E-3</v>
      </c>
      <c r="F427" s="5">
        <v>5.1146999999999998E-3</v>
      </c>
    </row>
    <row r="428" spans="1:6" x14ac:dyDescent="0.3">
      <c r="A428" s="15"/>
      <c r="B428" s="1"/>
      <c r="C428" s="1">
        <v>1120.29</v>
      </c>
      <c r="D428" s="4">
        <v>0.46309</v>
      </c>
      <c r="E428" s="5">
        <v>8.1542699999999999E-3</v>
      </c>
      <c r="F428" s="4">
        <v>1.043E-2</v>
      </c>
    </row>
    <row r="429" spans="1:6" x14ac:dyDescent="0.3">
      <c r="A429" s="15"/>
      <c r="B429" s="1" t="s">
        <v>9</v>
      </c>
      <c r="C429" s="1">
        <v>1460.82</v>
      </c>
      <c r="D429" s="4">
        <v>3.5299999999999998E-2</v>
      </c>
      <c r="E429" s="5">
        <v>3.4043400000000001E-3</v>
      </c>
      <c r="F429" s="5">
        <v>6.6640800000000002E-3</v>
      </c>
    </row>
    <row r="430" spans="1:6" x14ac:dyDescent="0.3">
      <c r="A430" s="15"/>
      <c r="B430" s="1" t="s">
        <v>10</v>
      </c>
      <c r="C430" s="1">
        <v>238.63</v>
      </c>
      <c r="D430" s="4">
        <v>6.2031200000000002</v>
      </c>
      <c r="E430" s="4">
        <v>2.8590000000000001E-2</v>
      </c>
      <c r="F430" s="4">
        <v>3.2410000000000001E-2</v>
      </c>
    </row>
    <row r="431" spans="1:6" x14ac:dyDescent="0.3">
      <c r="A431" s="15"/>
      <c r="B431" s="1" t="s">
        <v>11</v>
      </c>
      <c r="C431" s="1">
        <v>911.21</v>
      </c>
      <c r="D431" s="4">
        <v>1.15089</v>
      </c>
      <c r="E431" s="4">
        <v>1.1560000000000001E-2</v>
      </c>
      <c r="F431" s="5">
        <v>9.9718600000000008E-3</v>
      </c>
    </row>
    <row r="432" spans="1:6" x14ac:dyDescent="0.3">
      <c r="A432" s="15"/>
      <c r="B432" s="1"/>
      <c r="C432" s="1">
        <v>968.97</v>
      </c>
      <c r="D432" s="4">
        <v>0.66501999999999994</v>
      </c>
      <c r="E432" s="5">
        <v>9.2895500000000006E-3</v>
      </c>
      <c r="F432" s="4">
        <v>1.022E-2</v>
      </c>
    </row>
    <row r="433" spans="1:6" x14ac:dyDescent="0.3">
      <c r="A433" s="15"/>
      <c r="B433" s="1"/>
      <c r="C433" s="1">
        <v>338.32</v>
      </c>
      <c r="D433" s="4">
        <v>1.1526799999999999</v>
      </c>
      <c r="E433" s="4">
        <v>1.427E-2</v>
      </c>
      <c r="F433" s="4">
        <v>2.1770000000000001E-2</v>
      </c>
    </row>
    <row r="434" spans="1:6" x14ac:dyDescent="0.3">
      <c r="A434" s="15"/>
      <c r="B434" s="1" t="s">
        <v>12</v>
      </c>
      <c r="C434" s="1">
        <v>2614.5300000000002</v>
      </c>
      <c r="D434" s="4">
        <v>0.58709999999999996</v>
      </c>
      <c r="E434" s="5">
        <v>7.75189E-3</v>
      </c>
      <c r="F434" s="5">
        <v>2.7773300000000002E-3</v>
      </c>
    </row>
    <row r="435" spans="1:6" x14ac:dyDescent="0.3">
      <c r="A435" s="15"/>
      <c r="B435" s="1"/>
      <c r="C435" s="1">
        <v>583.19000000000005</v>
      </c>
      <c r="D435" s="4">
        <v>1.7882499999999999</v>
      </c>
      <c r="E435" s="4">
        <v>1.481E-2</v>
      </c>
      <c r="F435" s="4">
        <v>1.448E-2</v>
      </c>
    </row>
    <row r="436" spans="1:6" x14ac:dyDescent="0.3">
      <c r="A436" s="15"/>
      <c r="B436" s="1"/>
      <c r="C436" s="1">
        <v>510.77</v>
      </c>
      <c r="D436" s="4">
        <v>0.56976000000000004</v>
      </c>
      <c r="E436" s="5">
        <v>9.9999300000000006E-3</v>
      </c>
      <c r="F436" s="4">
        <v>1.516E-2</v>
      </c>
    </row>
    <row r="437" spans="1:6" x14ac:dyDescent="0.3">
      <c r="A437" s="15"/>
      <c r="B437" s="1"/>
      <c r="C437" s="1">
        <v>860.56</v>
      </c>
      <c r="D437" s="4">
        <v>0.19975999999999999</v>
      </c>
      <c r="E437" s="5">
        <v>5.8697799999999998E-3</v>
      </c>
      <c r="F437" s="5">
        <v>8.8850400000000003E-3</v>
      </c>
    </row>
    <row r="438" spans="1:6" x14ac:dyDescent="0.3">
      <c r="A438" s="21">
        <v>38</v>
      </c>
      <c r="B438" s="1" t="s">
        <v>7</v>
      </c>
      <c r="C438" s="1">
        <v>351.93</v>
      </c>
      <c r="D438" s="4">
        <v>1.1753</v>
      </c>
      <c r="E438" s="4">
        <v>1.2070000000000001E-2</v>
      </c>
      <c r="F438" s="4">
        <v>1.234E-2</v>
      </c>
    </row>
    <row r="439" spans="1:6" x14ac:dyDescent="0.3">
      <c r="A439" s="15"/>
      <c r="B439" s="1"/>
      <c r="C439" s="1">
        <v>295.22000000000003</v>
      </c>
      <c r="D439" s="4">
        <v>0.69269000000000003</v>
      </c>
      <c r="E439" s="4">
        <v>1.112E-2</v>
      </c>
      <c r="F439" s="4">
        <v>1.7100000000000001E-2</v>
      </c>
    </row>
    <row r="440" spans="1:6" x14ac:dyDescent="0.3">
      <c r="A440" s="15"/>
      <c r="B440" s="1" t="s">
        <v>8</v>
      </c>
      <c r="C440" s="1">
        <v>609.32000000000005</v>
      </c>
      <c r="D440" s="4">
        <v>0.81860999999999995</v>
      </c>
      <c r="E440" s="5">
        <v>9.7639900000000002E-3</v>
      </c>
      <c r="F440" s="5">
        <v>8.6010600000000006E-3</v>
      </c>
    </row>
    <row r="441" spans="1:6" x14ac:dyDescent="0.3">
      <c r="A441" s="15"/>
      <c r="B441" s="1"/>
      <c r="C441" s="1">
        <v>1764.49</v>
      </c>
      <c r="D441" s="19" t="s">
        <v>162</v>
      </c>
      <c r="E441" s="1"/>
      <c r="F441" s="1"/>
    </row>
    <row r="442" spans="1:6" x14ac:dyDescent="0.3">
      <c r="A442" s="15"/>
      <c r="B442" s="1"/>
      <c r="C442" s="1">
        <v>1120.29</v>
      </c>
      <c r="D442" s="4">
        <v>0.17161999999999999</v>
      </c>
      <c r="E442" s="5">
        <v>4.6430500000000001E-3</v>
      </c>
      <c r="F442" s="5">
        <v>4.7815599999999998E-3</v>
      </c>
    </row>
    <row r="443" spans="1:6" x14ac:dyDescent="0.3">
      <c r="A443" s="15"/>
      <c r="B443" s="1" t="s">
        <v>9</v>
      </c>
      <c r="C443" s="1">
        <v>1460.82</v>
      </c>
      <c r="D443" s="4">
        <v>4.6440000000000002E-2</v>
      </c>
      <c r="E443" s="5">
        <v>2.7939699999999998E-3</v>
      </c>
      <c r="F443" s="5">
        <v>4.1883700000000003E-3</v>
      </c>
    </row>
    <row r="444" spans="1:6" x14ac:dyDescent="0.3">
      <c r="A444" s="15"/>
      <c r="B444" s="1" t="s">
        <v>10</v>
      </c>
      <c r="C444" s="1">
        <v>238.63</v>
      </c>
      <c r="D444" s="4">
        <v>2.5087999999999999</v>
      </c>
      <c r="E444" s="4">
        <v>1.7989999999999999E-2</v>
      </c>
      <c r="F444" s="4">
        <v>1.958E-2</v>
      </c>
    </row>
    <row r="445" spans="1:6" x14ac:dyDescent="0.3">
      <c r="A445" s="15"/>
      <c r="B445" s="1" t="s">
        <v>11</v>
      </c>
      <c r="C445" s="1">
        <v>911.21</v>
      </c>
      <c r="D445" s="19" t="s">
        <v>163</v>
      </c>
      <c r="E445" s="5"/>
      <c r="F445" s="5"/>
    </row>
    <row r="446" spans="1:6" x14ac:dyDescent="0.3">
      <c r="A446" s="15"/>
      <c r="B446" s="1"/>
      <c r="C446" s="1">
        <v>968.97</v>
      </c>
      <c r="D446" s="4">
        <v>0.27714</v>
      </c>
      <c r="E446" s="5">
        <v>6.0372899999999998E-3</v>
      </c>
      <c r="F446" s="5">
        <v>6.8301799999999999E-3</v>
      </c>
    </row>
    <row r="447" spans="1:6" x14ac:dyDescent="0.3">
      <c r="A447" s="15"/>
      <c r="B447" s="1"/>
      <c r="C447" s="1">
        <v>338.32</v>
      </c>
      <c r="D447" s="4">
        <v>0.48300999999999999</v>
      </c>
      <c r="E447" s="4">
        <v>1.09E-2</v>
      </c>
      <c r="F447" s="4">
        <v>1.9400000000000001E-2</v>
      </c>
    </row>
    <row r="448" spans="1:6" x14ac:dyDescent="0.3">
      <c r="A448" s="15"/>
      <c r="B448" s="1" t="s">
        <v>12</v>
      </c>
      <c r="C448" s="1">
        <v>2614.5300000000002</v>
      </c>
      <c r="D448" s="4">
        <v>0.23547000000000001</v>
      </c>
      <c r="E448" s="5">
        <v>4.94686E-3</v>
      </c>
      <c r="F448" s="5">
        <v>2.1987600000000001E-3</v>
      </c>
    </row>
    <row r="449" spans="1:6" x14ac:dyDescent="0.3">
      <c r="A449" s="15"/>
      <c r="B449" s="1"/>
      <c r="C449" s="1">
        <v>583.19000000000005</v>
      </c>
      <c r="D449" s="4">
        <v>0.71806999999999999</v>
      </c>
      <c r="E449" s="5">
        <v>9.5098200000000004E-3</v>
      </c>
      <c r="F449" s="5">
        <v>9.9632100000000001E-3</v>
      </c>
    </row>
    <row r="450" spans="1:6" x14ac:dyDescent="0.3">
      <c r="A450" s="15"/>
      <c r="B450" s="1"/>
      <c r="C450" s="1">
        <v>510.77</v>
      </c>
      <c r="D450" s="4">
        <v>0.23882999999999999</v>
      </c>
      <c r="E450" s="5">
        <v>6.3472099999999998E-3</v>
      </c>
      <c r="F450" s="5">
        <v>9.3323699999999996E-3</v>
      </c>
    </row>
    <row r="451" spans="1:6" x14ac:dyDescent="0.3">
      <c r="A451" s="15"/>
      <c r="B451" s="1"/>
      <c r="C451" s="1">
        <v>860.56</v>
      </c>
      <c r="D451" s="4">
        <v>8.3799999999999999E-2</v>
      </c>
      <c r="E451" s="5">
        <v>3.8123599999999999E-3</v>
      </c>
      <c r="F451" s="5">
        <v>5.7363400000000004E-3</v>
      </c>
    </row>
    <row r="452" spans="1:6" x14ac:dyDescent="0.3">
      <c r="A452" s="15">
        <v>39</v>
      </c>
      <c r="B452" s="1" t="s">
        <v>7</v>
      </c>
      <c r="C452" s="1">
        <v>351.93</v>
      </c>
      <c r="D452" s="4">
        <v>0.71184000000000003</v>
      </c>
      <c r="E452" s="5">
        <v>9.6402799999999993E-3</v>
      </c>
      <c r="F452" s="4">
        <v>1.09E-2</v>
      </c>
    </row>
    <row r="453" spans="1:6" x14ac:dyDescent="0.3">
      <c r="A453" s="15"/>
      <c r="B453" s="1"/>
      <c r="C453" s="1">
        <v>295.22000000000003</v>
      </c>
      <c r="D453" s="4">
        <v>0.41313</v>
      </c>
      <c r="E453" s="5">
        <v>8.8040099999999993E-3</v>
      </c>
      <c r="F453" s="4">
        <v>1.4030000000000001E-2</v>
      </c>
    </row>
    <row r="454" spans="1:6" x14ac:dyDescent="0.3">
      <c r="A454" s="15"/>
      <c r="B454" s="1" t="s">
        <v>8</v>
      </c>
      <c r="C454" s="1">
        <v>609.32000000000005</v>
      </c>
      <c r="D454" s="4">
        <v>0.49719000000000002</v>
      </c>
      <c r="E454" s="5">
        <v>7.7662599999999997E-3</v>
      </c>
      <c r="F454" s="5">
        <v>7.5925100000000002E-3</v>
      </c>
    </row>
    <row r="455" spans="1:6" x14ac:dyDescent="0.3">
      <c r="A455" s="15"/>
      <c r="B455" s="1"/>
      <c r="C455" s="1">
        <v>1764.49</v>
      </c>
      <c r="D455" s="4">
        <v>7.6560000000000003E-2</v>
      </c>
      <c r="E455" s="5">
        <v>3.0276499999999998E-3</v>
      </c>
      <c r="F455" s="5">
        <v>2.8782299999999999E-3</v>
      </c>
    </row>
    <row r="456" spans="1:6" x14ac:dyDescent="0.3">
      <c r="A456" s="15"/>
      <c r="B456" s="1"/>
      <c r="C456" s="1">
        <v>1120.29</v>
      </c>
      <c r="D456" s="4">
        <v>9.3439999999999995E-2</v>
      </c>
      <c r="E456" s="5">
        <v>3.5690499999999998E-3</v>
      </c>
      <c r="F456" s="5">
        <v>4.2332699999999999E-3</v>
      </c>
    </row>
    <row r="457" spans="1:6" x14ac:dyDescent="0.3">
      <c r="A457" s="15"/>
      <c r="B457" s="1" t="s">
        <v>9</v>
      </c>
      <c r="C457" s="1">
        <v>1460.82</v>
      </c>
      <c r="D457" s="4">
        <v>3.1759999999999997E-2</v>
      </c>
      <c r="E457" s="5">
        <v>2.43633E-3</v>
      </c>
      <c r="F457" s="5">
        <v>3.7880399999999999E-3</v>
      </c>
    </row>
    <row r="458" spans="1:6" x14ac:dyDescent="0.3">
      <c r="A458" s="15"/>
      <c r="B458" s="1" t="s">
        <v>10</v>
      </c>
      <c r="C458" s="1">
        <v>238.63</v>
      </c>
      <c r="D458" s="4">
        <v>2.4985200000000001</v>
      </c>
      <c r="E458" s="4">
        <v>1.7389999999999999E-2</v>
      </c>
      <c r="F458" s="4">
        <v>1.678E-2</v>
      </c>
    </row>
    <row r="459" spans="1:6" x14ac:dyDescent="0.3">
      <c r="A459" s="15"/>
      <c r="B459" s="1" t="s">
        <v>11</v>
      </c>
      <c r="C459" s="1">
        <v>911.21</v>
      </c>
      <c r="D459" s="4">
        <v>0.41253000000000001</v>
      </c>
      <c r="E459" s="5">
        <v>6.8027599999999997E-3</v>
      </c>
      <c r="F459" s="5">
        <v>5.2539700000000002E-3</v>
      </c>
    </row>
    <row r="460" spans="1:6" x14ac:dyDescent="0.3">
      <c r="A460" s="15"/>
      <c r="B460" s="1"/>
      <c r="C460" s="1">
        <v>968.97</v>
      </c>
      <c r="D460" s="4">
        <v>0.23554</v>
      </c>
      <c r="E460" s="5">
        <v>5.58466E-3</v>
      </c>
      <c r="F460" s="5">
        <v>6.4422500000000001E-3</v>
      </c>
    </row>
    <row r="461" spans="1:6" x14ac:dyDescent="0.3">
      <c r="A461" s="15"/>
      <c r="B461" s="1"/>
      <c r="C461" s="1">
        <v>338.32</v>
      </c>
      <c r="D461" s="4">
        <v>0.42020999999999997</v>
      </c>
      <c r="E461" s="5">
        <v>9.7238600000000008E-3</v>
      </c>
      <c r="F461" s="4">
        <v>1.6729999999999998E-2</v>
      </c>
    </row>
    <row r="462" spans="1:6" x14ac:dyDescent="0.3">
      <c r="A462" s="15"/>
      <c r="B462" s="1" t="s">
        <v>12</v>
      </c>
      <c r="C462" s="1">
        <v>2614.5300000000002</v>
      </c>
      <c r="D462" s="4">
        <v>0.20305000000000001</v>
      </c>
      <c r="E462" s="5">
        <v>4.5725599999999998E-3</v>
      </c>
      <c r="F462" s="5">
        <v>1.8608800000000001E-3</v>
      </c>
    </row>
    <row r="463" spans="1:6" x14ac:dyDescent="0.3">
      <c r="A463" s="15"/>
      <c r="B463" s="1"/>
      <c r="C463" s="1">
        <v>583.19000000000005</v>
      </c>
      <c r="D463" s="4">
        <v>0.64509000000000005</v>
      </c>
      <c r="E463" s="5">
        <v>8.8093300000000006E-3</v>
      </c>
      <c r="F463" s="6">
        <v>8.4661500000000004E-3</v>
      </c>
    </row>
    <row r="464" spans="1:6" x14ac:dyDescent="0.3">
      <c r="A464" s="15"/>
      <c r="B464" s="1"/>
      <c r="C464" s="1">
        <v>510.77</v>
      </c>
      <c r="D464" s="4">
        <v>0.21481</v>
      </c>
      <c r="E464" s="5">
        <v>5.8659200000000002E-3</v>
      </c>
      <c r="F464" s="5">
        <v>8.3003199999999999E-3</v>
      </c>
    </row>
    <row r="465" spans="1:6" x14ac:dyDescent="0.3">
      <c r="A465" s="15"/>
      <c r="B465" s="1"/>
      <c r="C465" s="1">
        <v>860.56</v>
      </c>
      <c r="D465" s="4">
        <v>7.0809999999999998E-2</v>
      </c>
      <c r="E465" s="5">
        <v>3.3931899999999999E-3</v>
      </c>
      <c r="F465" s="5">
        <v>4.9336299999999996E-3</v>
      </c>
    </row>
    <row r="466" spans="1:6" x14ac:dyDescent="0.3">
      <c r="A466" s="15">
        <v>40</v>
      </c>
      <c r="B466" s="1" t="s">
        <v>7</v>
      </c>
      <c r="C466" s="1">
        <v>351.93</v>
      </c>
      <c r="D466" s="4">
        <v>0.39842</v>
      </c>
      <c r="E466" s="5">
        <v>7.2869400000000004E-3</v>
      </c>
      <c r="F466" s="5">
        <v>8.5216800000000002E-3</v>
      </c>
    </row>
    <row r="467" spans="1:6" x14ac:dyDescent="0.3">
      <c r="A467" s="15"/>
      <c r="B467" s="1"/>
      <c r="C467" s="1">
        <v>295.22000000000003</v>
      </c>
      <c r="D467" s="4">
        <v>0.2392</v>
      </c>
      <c r="E467" s="5">
        <v>6.7847999999999997E-3</v>
      </c>
      <c r="F467" s="4">
        <v>1.0840000000000001E-2</v>
      </c>
    </row>
    <row r="468" spans="1:6" x14ac:dyDescent="0.3">
      <c r="A468" s="15"/>
      <c r="B468" s="1" t="s">
        <v>8</v>
      </c>
      <c r="C468" s="1">
        <v>609.32000000000005</v>
      </c>
      <c r="D468" s="4">
        <v>0.27850000000000003</v>
      </c>
      <c r="E468" s="5">
        <v>5.8179199999999999E-3</v>
      </c>
      <c r="F468" s="5">
        <v>5.7512400000000003E-3</v>
      </c>
    </row>
    <row r="469" spans="1:6" x14ac:dyDescent="0.3">
      <c r="A469" s="15"/>
      <c r="B469" s="1"/>
      <c r="C469" s="1">
        <v>1764.49</v>
      </c>
      <c r="D469" s="4">
        <v>3.9669999999999997E-2</v>
      </c>
      <c r="E469" s="5">
        <v>2.2403000000000002E-3</v>
      </c>
      <c r="F469" s="5">
        <v>2.44722E-3</v>
      </c>
    </row>
    <row r="470" spans="1:6" x14ac:dyDescent="0.3">
      <c r="A470" s="15"/>
      <c r="B470" s="1"/>
      <c r="C470" s="1">
        <v>1120.29</v>
      </c>
      <c r="D470" s="4">
        <v>5.3719999999999997E-2</v>
      </c>
      <c r="E470" s="5">
        <v>2.7091699999999999E-3</v>
      </c>
      <c r="F470" s="5">
        <v>3.2911799999999999E-3</v>
      </c>
    </row>
    <row r="471" spans="1:6" x14ac:dyDescent="0.3">
      <c r="A471" s="15"/>
      <c r="B471" s="1" t="s">
        <v>9</v>
      </c>
      <c r="C471" s="1">
        <v>1460.82</v>
      </c>
      <c r="D471" s="4">
        <v>2.9929999999999998E-2</v>
      </c>
      <c r="E471" s="5">
        <v>2.1018299999999998E-3</v>
      </c>
      <c r="F471" s="5">
        <v>2.8365999999999999E-3</v>
      </c>
    </row>
    <row r="472" spans="1:6" x14ac:dyDescent="0.3">
      <c r="A472" s="15"/>
      <c r="B472" s="1" t="s">
        <v>10</v>
      </c>
      <c r="C472" s="1">
        <v>238.63</v>
      </c>
      <c r="D472" s="4">
        <v>1.1232800000000001</v>
      </c>
      <c r="E472" s="4">
        <v>1.35E-2</v>
      </c>
      <c r="F472" s="4">
        <v>1.6639999999999999E-2</v>
      </c>
    </row>
    <row r="473" spans="1:6" x14ac:dyDescent="0.3">
      <c r="A473" s="15"/>
      <c r="B473" s="1" t="s">
        <v>11</v>
      </c>
      <c r="C473" s="1">
        <v>911.21</v>
      </c>
      <c r="D473" s="4">
        <v>0.23102</v>
      </c>
      <c r="E473" s="5">
        <v>5.14446E-3</v>
      </c>
      <c r="F473" s="5">
        <v>4.2979999999999997E-3</v>
      </c>
    </row>
    <row r="474" spans="1:6" x14ac:dyDescent="0.3">
      <c r="A474" s="15"/>
      <c r="B474" s="1"/>
      <c r="C474" s="1">
        <v>968.97</v>
      </c>
      <c r="D474" s="4">
        <v>0.13419</v>
      </c>
      <c r="E474" s="5">
        <v>4.1158399999999999E-3</v>
      </c>
      <c r="F474" s="5">
        <v>4.3996599999999997E-3</v>
      </c>
    </row>
    <row r="475" spans="1:6" x14ac:dyDescent="0.3">
      <c r="A475" s="15"/>
      <c r="B475" s="1"/>
      <c r="C475" s="1">
        <v>338.32</v>
      </c>
      <c r="D475" s="4">
        <v>0.24865000000000001</v>
      </c>
      <c r="E475" s="5">
        <v>7.4515199999999997E-3</v>
      </c>
      <c r="F475" s="4">
        <v>1.2880000000000001E-2</v>
      </c>
    </row>
    <row r="476" spans="1:6" x14ac:dyDescent="0.3">
      <c r="A476" s="15"/>
      <c r="B476" s="1" t="s">
        <v>12</v>
      </c>
      <c r="C476" s="1">
        <v>2614.5300000000002</v>
      </c>
      <c r="D476" s="4">
        <v>0.11408</v>
      </c>
      <c r="E476" s="5">
        <v>3.4931200000000002E-3</v>
      </c>
      <c r="F476" s="5">
        <v>2.0722599999999998E-3</v>
      </c>
    </row>
    <row r="477" spans="1:6" x14ac:dyDescent="0.3">
      <c r="A477" s="15"/>
      <c r="B477" s="1"/>
      <c r="C477" s="1">
        <v>583.19000000000005</v>
      </c>
      <c r="D477" s="4">
        <v>0.36353000000000002</v>
      </c>
      <c r="E477" s="5">
        <v>6.6060299999999997E-3</v>
      </c>
      <c r="F477" s="5">
        <v>6.2314600000000003E-3</v>
      </c>
    </row>
    <row r="478" spans="1:6" x14ac:dyDescent="0.3">
      <c r="A478" s="15"/>
      <c r="B478" s="1"/>
      <c r="C478" s="1">
        <v>510.77</v>
      </c>
      <c r="D478" s="4">
        <v>0.12726000000000001</v>
      </c>
      <c r="E478" s="5">
        <v>5.0006299999999998E-3</v>
      </c>
      <c r="F478" s="5">
        <v>8.1046199999999999E-3</v>
      </c>
    </row>
    <row r="479" spans="1:6" x14ac:dyDescent="0.3">
      <c r="A479" s="15"/>
      <c r="B479" s="1"/>
      <c r="C479" s="1">
        <v>860.56</v>
      </c>
      <c r="D479" s="4">
        <v>4.0570000000000002E-2</v>
      </c>
      <c r="E479" s="5">
        <v>2.6604100000000002E-3</v>
      </c>
      <c r="F479" s="5">
        <v>4.0449600000000002E-3</v>
      </c>
    </row>
    <row r="480" spans="1:6" x14ac:dyDescent="0.3">
      <c r="A480" s="21">
        <v>42</v>
      </c>
      <c r="B480" s="1" t="s">
        <v>7</v>
      </c>
      <c r="C480" s="1">
        <v>351.93</v>
      </c>
      <c r="D480" s="4">
        <v>2.1950000000000001E-2</v>
      </c>
      <c r="E480" s="5">
        <v>1.9134499999999999E-3</v>
      </c>
      <c r="F480" s="5">
        <v>2.8593099999999999E-3</v>
      </c>
    </row>
    <row r="481" spans="1:6" x14ac:dyDescent="0.3">
      <c r="A481" s="15"/>
      <c r="B481" s="1"/>
      <c r="C481" s="1">
        <v>295.22000000000003</v>
      </c>
      <c r="D481" s="19" t="s">
        <v>156</v>
      </c>
      <c r="E481" s="1"/>
      <c r="F481" s="1"/>
    </row>
    <row r="482" spans="1:6" x14ac:dyDescent="0.3">
      <c r="A482" s="15"/>
      <c r="B482" s="1" t="s">
        <v>8</v>
      </c>
      <c r="C482" s="1">
        <v>609.32000000000005</v>
      </c>
      <c r="D482" s="18" t="s">
        <v>157</v>
      </c>
      <c r="E482" s="5"/>
      <c r="F482" s="5"/>
    </row>
    <row r="483" spans="1:6" x14ac:dyDescent="0.3">
      <c r="A483" s="15"/>
      <c r="B483" s="1"/>
      <c r="C483" s="1">
        <v>1764.49</v>
      </c>
      <c r="D483" s="5">
        <v>1.90830605E-3</v>
      </c>
      <c r="E483" s="5">
        <v>6.6743E-4</v>
      </c>
      <c r="F483" s="5">
        <v>1.1914E-3</v>
      </c>
    </row>
    <row r="484" spans="1:6" x14ac:dyDescent="0.3">
      <c r="A484" s="15"/>
      <c r="B484" s="1"/>
      <c r="C484" s="22">
        <v>1120.29</v>
      </c>
      <c r="D484" s="19" t="s">
        <v>158</v>
      </c>
      <c r="E484" s="1"/>
      <c r="F484" s="1"/>
    </row>
    <row r="485" spans="1:6" x14ac:dyDescent="0.3">
      <c r="A485" s="15"/>
      <c r="B485" s="1" t="s">
        <v>9</v>
      </c>
      <c r="C485" s="1">
        <v>1460.82</v>
      </c>
      <c r="D485" s="19" t="s">
        <v>159</v>
      </c>
      <c r="E485" s="5"/>
      <c r="F485" s="5"/>
    </row>
    <row r="486" spans="1:6" x14ac:dyDescent="0.3">
      <c r="A486" s="15"/>
      <c r="B486" s="1" t="s">
        <v>10</v>
      </c>
      <c r="C486" s="1">
        <v>238.63</v>
      </c>
      <c r="D486" s="4">
        <v>4.648E-2</v>
      </c>
      <c r="E486" s="5">
        <v>2.9079700000000002E-3</v>
      </c>
      <c r="F486" s="5">
        <v>4.5273900000000001E-3</v>
      </c>
    </row>
    <row r="487" spans="1:6" x14ac:dyDescent="0.3">
      <c r="A487" s="15"/>
      <c r="B487" s="1" t="s">
        <v>11</v>
      </c>
      <c r="C487" s="1">
        <v>911.21</v>
      </c>
      <c r="D487" s="5">
        <v>9.8420512999999998E-3</v>
      </c>
      <c r="E487" s="5">
        <v>1.2644399999999999E-3</v>
      </c>
      <c r="F487" s="5">
        <v>1.8821300000000001E-3</v>
      </c>
    </row>
    <row r="488" spans="1:6" x14ac:dyDescent="0.3">
      <c r="A488" s="15"/>
      <c r="B488" s="1"/>
      <c r="C488" s="1">
        <v>968.97</v>
      </c>
      <c r="D488" s="5">
        <v>4.9681381299999999E-3</v>
      </c>
      <c r="E488" s="5">
        <v>1.0146300000000001E-3</v>
      </c>
      <c r="F488" s="5">
        <v>1.6864E-3</v>
      </c>
    </row>
    <row r="489" spans="1:6" x14ac:dyDescent="0.3">
      <c r="A489" s="15"/>
      <c r="B489" s="1"/>
      <c r="C489" s="1">
        <v>338.32</v>
      </c>
      <c r="D489" s="5">
        <v>8.3709786200000004E-3</v>
      </c>
      <c r="E489" s="5">
        <v>1.61236E-3</v>
      </c>
      <c r="F489" s="5">
        <v>3.08859E-3</v>
      </c>
    </row>
    <row r="490" spans="1:6" x14ac:dyDescent="0.3">
      <c r="A490" s="15"/>
      <c r="B490" s="1" t="s">
        <v>12</v>
      </c>
      <c r="C490" s="1">
        <v>2614.5300000000002</v>
      </c>
      <c r="D490" s="19" t="s">
        <v>160</v>
      </c>
      <c r="E490" s="1"/>
      <c r="F490" s="1"/>
    </row>
    <row r="491" spans="1:6" x14ac:dyDescent="0.3">
      <c r="A491" s="15"/>
      <c r="B491" s="1"/>
      <c r="C491" s="1">
        <v>583.19000000000005</v>
      </c>
      <c r="D491" s="4">
        <v>1.584E-2</v>
      </c>
      <c r="E491" s="5">
        <v>1.5944399999999999E-3</v>
      </c>
      <c r="F491" s="5">
        <v>2.2499899999999999E-3</v>
      </c>
    </row>
    <row r="492" spans="1:6" x14ac:dyDescent="0.3">
      <c r="A492" s="15"/>
      <c r="B492" s="1"/>
      <c r="C492" s="1">
        <v>510.77</v>
      </c>
      <c r="D492" s="4">
        <v>2.6960000000000001E-2</v>
      </c>
      <c r="E492" s="5">
        <v>1.99724E-3</v>
      </c>
      <c r="F492" s="5">
        <v>2.6902100000000002E-3</v>
      </c>
    </row>
    <row r="493" spans="1:6" x14ac:dyDescent="0.3">
      <c r="A493" s="15"/>
      <c r="B493" s="1"/>
      <c r="C493" s="1">
        <v>860.56</v>
      </c>
      <c r="D493" s="19" t="s">
        <v>161</v>
      </c>
      <c r="E493" s="1"/>
      <c r="F493" s="1"/>
    </row>
    <row r="494" spans="1:6" x14ac:dyDescent="0.3">
      <c r="A494" s="21">
        <v>43</v>
      </c>
      <c r="B494" s="1" t="s">
        <v>7</v>
      </c>
      <c r="C494" s="1">
        <v>351.93</v>
      </c>
      <c r="D494" s="18" t="s">
        <v>144</v>
      </c>
      <c r="E494" s="5"/>
      <c r="F494" s="5"/>
    </row>
    <row r="495" spans="1:6" x14ac:dyDescent="0.3">
      <c r="A495" s="15"/>
      <c r="B495" s="1"/>
      <c r="C495" s="1">
        <v>295.22000000000003</v>
      </c>
      <c r="D495" s="18" t="s">
        <v>145</v>
      </c>
      <c r="E495" s="5"/>
      <c r="F495" s="5"/>
    </row>
    <row r="496" spans="1:6" x14ac:dyDescent="0.3">
      <c r="A496" s="15"/>
      <c r="B496" s="1" t="s">
        <v>8</v>
      </c>
      <c r="C496" s="1">
        <v>609.32000000000005</v>
      </c>
      <c r="D496" s="18" t="s">
        <v>146</v>
      </c>
      <c r="E496" s="5"/>
      <c r="F496" s="5"/>
    </row>
    <row r="497" spans="1:6" x14ac:dyDescent="0.3">
      <c r="A497" s="15"/>
      <c r="B497" s="1"/>
      <c r="C497" s="1">
        <v>1764.49</v>
      </c>
      <c r="D497" s="1" t="s">
        <v>147</v>
      </c>
      <c r="E497" s="1"/>
      <c r="F497" s="1"/>
    </row>
    <row r="498" spans="1:6" x14ac:dyDescent="0.3">
      <c r="A498" s="15"/>
      <c r="B498" s="1"/>
      <c r="C498" s="1">
        <v>1120.29</v>
      </c>
      <c r="D498" s="19" t="s">
        <v>148</v>
      </c>
      <c r="E498" s="5"/>
      <c r="F498" s="6"/>
    </row>
    <row r="499" spans="1:6" x14ac:dyDescent="0.3">
      <c r="A499" s="15"/>
      <c r="B499" s="1" t="s">
        <v>9</v>
      </c>
      <c r="C499" s="1">
        <v>1460.82</v>
      </c>
      <c r="D499" s="18" t="s">
        <v>149</v>
      </c>
      <c r="E499" s="5"/>
      <c r="F499" s="5"/>
    </row>
    <row r="500" spans="1:6" x14ac:dyDescent="0.3">
      <c r="A500" s="15"/>
      <c r="B500" s="1" t="s">
        <v>10</v>
      </c>
      <c r="C500" s="1">
        <v>238.63</v>
      </c>
      <c r="D500" s="18" t="s">
        <v>150</v>
      </c>
      <c r="E500" s="5"/>
      <c r="F500" s="5"/>
    </row>
    <row r="501" spans="1:6" x14ac:dyDescent="0.3">
      <c r="A501" s="15"/>
      <c r="B501" s="1" t="s">
        <v>11</v>
      </c>
      <c r="C501" s="1">
        <v>911.21</v>
      </c>
      <c r="D501" s="18" t="s">
        <v>151</v>
      </c>
      <c r="E501" s="5"/>
      <c r="F501" s="5"/>
    </row>
    <row r="502" spans="1:6" x14ac:dyDescent="0.3">
      <c r="A502" s="15"/>
      <c r="B502" s="1"/>
      <c r="C502" s="1">
        <v>968.97</v>
      </c>
      <c r="D502" s="18" t="s">
        <v>152</v>
      </c>
      <c r="E502" s="5"/>
      <c r="F502" s="5"/>
    </row>
    <row r="503" spans="1:6" x14ac:dyDescent="0.3">
      <c r="A503" s="15"/>
      <c r="B503" s="1"/>
      <c r="C503" s="1">
        <v>338.32</v>
      </c>
      <c r="D503" s="18" t="s">
        <v>153</v>
      </c>
      <c r="E503" s="5"/>
      <c r="F503" s="5"/>
    </row>
    <row r="504" spans="1:6" x14ac:dyDescent="0.3">
      <c r="A504" s="15"/>
      <c r="B504" s="1" t="s">
        <v>12</v>
      </c>
      <c r="C504" s="1">
        <v>2614.5300000000002</v>
      </c>
      <c r="D504" s="19" t="s">
        <v>154</v>
      </c>
      <c r="E504" s="1"/>
      <c r="F504" s="1"/>
    </row>
    <row r="505" spans="1:6" x14ac:dyDescent="0.3">
      <c r="A505" s="15"/>
      <c r="B505" s="1"/>
      <c r="C505" s="1">
        <v>583.19000000000005</v>
      </c>
      <c r="D505" s="4">
        <v>3.5700000000000003E-2</v>
      </c>
      <c r="E505" s="5">
        <v>2.2592900000000002E-3</v>
      </c>
      <c r="F505" s="5">
        <v>2.9073599999999999E-3</v>
      </c>
    </row>
    <row r="506" spans="1:6" x14ac:dyDescent="0.3">
      <c r="A506" s="15"/>
      <c r="B506" s="1"/>
      <c r="C506" s="1">
        <v>510.77</v>
      </c>
      <c r="D506" s="18" t="s">
        <v>155</v>
      </c>
      <c r="E506" s="1"/>
      <c r="F506" s="1"/>
    </row>
    <row r="507" spans="1:6" x14ac:dyDescent="0.3">
      <c r="A507" s="15"/>
      <c r="B507" s="1"/>
      <c r="C507" s="1">
        <v>860.56</v>
      </c>
      <c r="D507" s="5">
        <v>1.7510442399999999E-3</v>
      </c>
      <c r="E507" s="5">
        <v>9.7223000000000003E-4</v>
      </c>
      <c r="F507" s="5">
        <v>2.0059100000000001E-3</v>
      </c>
    </row>
    <row r="508" spans="1:6" x14ac:dyDescent="0.3">
      <c r="A508" s="21">
        <v>44</v>
      </c>
      <c r="B508" s="1" t="s">
        <v>7</v>
      </c>
      <c r="C508" s="1">
        <v>351.93</v>
      </c>
      <c r="D508" s="4">
        <v>6.6589999999999996E-2</v>
      </c>
      <c r="E508" s="5">
        <v>3.16761E-3</v>
      </c>
      <c r="F508" s="6">
        <v>4.09538E-3</v>
      </c>
    </row>
    <row r="509" spans="1:6" x14ac:dyDescent="0.3">
      <c r="A509" s="15"/>
      <c r="B509" s="1"/>
      <c r="C509" s="1">
        <v>295.22000000000003</v>
      </c>
      <c r="D509" s="4">
        <v>3.9550000000000002E-2</v>
      </c>
      <c r="E509" s="5">
        <v>3.0930100000000002E-3</v>
      </c>
      <c r="F509" s="5">
        <v>5.5119100000000001E-3</v>
      </c>
    </row>
    <row r="510" spans="1:6" x14ac:dyDescent="0.3">
      <c r="A510" s="15"/>
      <c r="B510" s="1" t="s">
        <v>8</v>
      </c>
      <c r="C510" s="1">
        <v>609.32000000000005</v>
      </c>
      <c r="D510" s="19" t="s">
        <v>135</v>
      </c>
      <c r="E510" s="5"/>
      <c r="F510" s="5"/>
    </row>
    <row r="511" spans="1:6" x14ac:dyDescent="0.3">
      <c r="A511" s="15"/>
      <c r="B511" s="1"/>
      <c r="C511" s="22">
        <v>1764.49</v>
      </c>
      <c r="D511" s="19" t="s">
        <v>136</v>
      </c>
      <c r="E511" s="1"/>
      <c r="F511" s="1"/>
    </row>
    <row r="512" spans="1:6" x14ac:dyDescent="0.3">
      <c r="A512" s="15"/>
      <c r="B512" s="1"/>
      <c r="C512" s="1">
        <v>1120.29</v>
      </c>
      <c r="D512" s="18" t="s">
        <v>137</v>
      </c>
      <c r="E512" s="1"/>
      <c r="F512" s="1"/>
    </row>
    <row r="513" spans="1:6" x14ac:dyDescent="0.3">
      <c r="A513" s="15"/>
      <c r="B513" s="1" t="s">
        <v>9</v>
      </c>
      <c r="C513" s="1">
        <v>1460.82</v>
      </c>
      <c r="D513" s="18" t="s">
        <v>138</v>
      </c>
      <c r="E513" s="5"/>
      <c r="F513" s="1"/>
    </row>
    <row r="514" spans="1:6" x14ac:dyDescent="0.3">
      <c r="A514" s="15"/>
      <c r="B514" s="1" t="s">
        <v>10</v>
      </c>
      <c r="C514" s="1">
        <v>238.63</v>
      </c>
      <c r="D514" s="4">
        <v>0.15770000000000001</v>
      </c>
      <c r="E514" s="5">
        <v>4.9023199999999999E-3</v>
      </c>
      <c r="F514" s="5">
        <v>6.4613200000000004E-3</v>
      </c>
    </row>
    <row r="515" spans="1:6" x14ac:dyDescent="0.3">
      <c r="A515" s="15"/>
      <c r="B515" s="1" t="s">
        <v>11</v>
      </c>
      <c r="C515" s="1">
        <v>911.21</v>
      </c>
      <c r="D515" s="4">
        <v>3.3009999999999998E-2</v>
      </c>
      <c r="E515" s="5">
        <v>2.0707400000000002E-3</v>
      </c>
      <c r="F515" s="5">
        <v>2.3351299999999999E-3</v>
      </c>
    </row>
    <row r="516" spans="1:6" x14ac:dyDescent="0.3">
      <c r="A516" s="15"/>
      <c r="B516" s="1"/>
      <c r="C516" s="1">
        <v>968.97</v>
      </c>
      <c r="D516" s="18" t="s">
        <v>139</v>
      </c>
      <c r="E516" s="1"/>
      <c r="F516" s="1"/>
    </row>
    <row r="517" spans="1:6" x14ac:dyDescent="0.3">
      <c r="A517" s="15"/>
      <c r="B517" s="1"/>
      <c r="C517" s="1">
        <v>338.32</v>
      </c>
      <c r="D517" s="19" t="s">
        <v>140</v>
      </c>
      <c r="E517" s="5"/>
      <c r="F517" s="5"/>
    </row>
    <row r="518" spans="1:6" x14ac:dyDescent="0.3">
      <c r="A518" s="15"/>
      <c r="B518" s="1" t="s">
        <v>12</v>
      </c>
      <c r="C518" s="1">
        <v>2614.5300000000002</v>
      </c>
      <c r="D518" s="19" t="s">
        <v>141</v>
      </c>
      <c r="E518" s="1"/>
      <c r="F518" s="1"/>
    </row>
    <row r="519" spans="1:6" x14ac:dyDescent="0.3">
      <c r="A519" s="15"/>
      <c r="B519" s="1"/>
      <c r="C519" s="1">
        <v>583.19000000000005</v>
      </c>
      <c r="D519" s="18" t="s">
        <v>142</v>
      </c>
      <c r="E519" s="5"/>
      <c r="F519" s="5"/>
    </row>
    <row r="520" spans="1:6" x14ac:dyDescent="0.3">
      <c r="A520" s="15"/>
      <c r="B520" s="1"/>
      <c r="C520" s="1">
        <v>510.77</v>
      </c>
      <c r="D520" s="4">
        <v>3.5139999999999998E-2</v>
      </c>
      <c r="E520" s="5">
        <v>2.3281E-3</v>
      </c>
      <c r="F520" s="5">
        <v>3.2510500000000001E-3</v>
      </c>
    </row>
    <row r="521" spans="1:6" x14ac:dyDescent="0.3">
      <c r="A521" s="15"/>
      <c r="B521" s="1"/>
      <c r="C521" s="1">
        <v>860.56</v>
      </c>
      <c r="D521" s="18" t="s">
        <v>143</v>
      </c>
      <c r="E521" s="1"/>
      <c r="F521" s="1"/>
    </row>
    <row r="522" spans="1:6" x14ac:dyDescent="0.3">
      <c r="A522" s="21">
        <v>45</v>
      </c>
      <c r="B522" s="1" t="s">
        <v>7</v>
      </c>
      <c r="C522" s="1">
        <v>351.93</v>
      </c>
      <c r="D522" s="4">
        <v>0.33435999999999999</v>
      </c>
      <c r="E522" s="5">
        <v>6.5824799999999999E-3</v>
      </c>
      <c r="F522" s="5">
        <v>7.3123499999999996E-3</v>
      </c>
    </row>
    <row r="523" spans="1:6" x14ac:dyDescent="0.3">
      <c r="A523" s="15"/>
      <c r="B523" s="1"/>
      <c r="C523" s="1">
        <v>295.22000000000003</v>
      </c>
      <c r="D523" s="4">
        <v>0.19383</v>
      </c>
      <c r="E523" s="5">
        <v>6.2817200000000002E-3</v>
      </c>
      <c r="F523" s="4">
        <v>1.042E-2</v>
      </c>
    </row>
    <row r="524" spans="1:6" x14ac:dyDescent="0.3">
      <c r="A524" s="15"/>
      <c r="B524" s="1" t="s">
        <v>8</v>
      </c>
      <c r="C524" s="1">
        <v>609.32000000000005</v>
      </c>
      <c r="D524" s="4">
        <v>0.22724</v>
      </c>
      <c r="E524" s="5">
        <v>5.2324499999999996E-3</v>
      </c>
      <c r="F524" s="5">
        <v>5.0467799999999998E-3</v>
      </c>
    </row>
    <row r="525" spans="1:6" x14ac:dyDescent="0.3">
      <c r="A525" s="15"/>
      <c r="B525" s="1"/>
      <c r="C525" s="1">
        <v>1764.49</v>
      </c>
      <c r="D525" s="19" t="s">
        <v>130</v>
      </c>
      <c r="E525" s="5"/>
      <c r="F525" s="5"/>
    </row>
    <row r="526" spans="1:6" x14ac:dyDescent="0.3">
      <c r="A526" s="15"/>
      <c r="B526" s="1"/>
      <c r="C526" s="1">
        <v>1120.29</v>
      </c>
      <c r="D526" s="4">
        <v>4.5760000000000002E-2</v>
      </c>
      <c r="E526" s="5">
        <v>2.4710600000000002E-3</v>
      </c>
      <c r="F526" s="5">
        <v>2.9299E-3</v>
      </c>
    </row>
    <row r="527" spans="1:6" x14ac:dyDescent="0.3">
      <c r="A527" s="15"/>
      <c r="B527" s="1" t="s">
        <v>9</v>
      </c>
      <c r="C527" s="1">
        <v>1460.82</v>
      </c>
      <c r="D527" s="18" t="s">
        <v>131</v>
      </c>
      <c r="E527" s="5"/>
      <c r="F527" s="5"/>
    </row>
    <row r="528" spans="1:6" x14ac:dyDescent="0.3">
      <c r="A528" s="15"/>
      <c r="B528" s="1" t="s">
        <v>10</v>
      </c>
      <c r="C528" s="1">
        <v>238.63</v>
      </c>
      <c r="D528" s="18" t="s">
        <v>132</v>
      </c>
      <c r="E528" s="4"/>
      <c r="F528" s="4"/>
    </row>
    <row r="529" spans="1:6" x14ac:dyDescent="0.3">
      <c r="A529" s="15"/>
      <c r="B529" s="1" t="s">
        <v>11</v>
      </c>
      <c r="C529" s="1">
        <v>911.21</v>
      </c>
      <c r="D529" s="19" t="s">
        <v>133</v>
      </c>
      <c r="E529" s="5"/>
      <c r="F529" s="5"/>
    </row>
    <row r="530" spans="1:6" x14ac:dyDescent="0.3">
      <c r="A530" s="15"/>
      <c r="B530" s="1"/>
      <c r="C530" s="1">
        <v>968.97</v>
      </c>
      <c r="D530" s="4">
        <v>9.7619999999999998E-2</v>
      </c>
      <c r="E530" s="5">
        <v>3.6170899999999999E-3</v>
      </c>
      <c r="F530" s="5">
        <v>4.2074800000000004E-3</v>
      </c>
    </row>
    <row r="531" spans="1:6" x14ac:dyDescent="0.3">
      <c r="A531" s="15"/>
      <c r="B531" s="1"/>
      <c r="C531" s="1">
        <v>338.32</v>
      </c>
      <c r="D531" s="19" t="s">
        <v>133</v>
      </c>
      <c r="E531" s="5"/>
      <c r="F531" s="5"/>
    </row>
    <row r="532" spans="1:6" x14ac:dyDescent="0.3">
      <c r="A532" s="15"/>
      <c r="B532" s="1" t="s">
        <v>12</v>
      </c>
      <c r="C532" s="1">
        <v>2614.5300000000002</v>
      </c>
      <c r="D532" s="4">
        <v>8.6019999999999999E-2</v>
      </c>
      <c r="E532" s="5">
        <v>2.99877E-3</v>
      </c>
      <c r="F532" s="5">
        <v>1.47153E-3</v>
      </c>
    </row>
    <row r="533" spans="1:6" x14ac:dyDescent="0.3">
      <c r="A533" s="15"/>
      <c r="B533" s="1"/>
      <c r="C533" s="1">
        <v>583.19000000000005</v>
      </c>
      <c r="D533" s="4">
        <v>0.25302999999999998</v>
      </c>
      <c r="E533" s="5">
        <v>5.6264399999999999E-3</v>
      </c>
      <c r="F533" s="5">
        <v>5.8415799999999999E-3</v>
      </c>
    </row>
    <row r="534" spans="1:6" x14ac:dyDescent="0.3">
      <c r="A534" s="15"/>
      <c r="B534" s="1"/>
      <c r="C534" s="1">
        <v>510.77</v>
      </c>
      <c r="D534" s="4">
        <v>9.5280000000000004E-2</v>
      </c>
      <c r="E534" s="5">
        <v>4.0392199999999996E-3</v>
      </c>
      <c r="F534" s="6">
        <v>5.9749699999999996E-3</v>
      </c>
    </row>
    <row r="535" spans="1:6" x14ac:dyDescent="0.3">
      <c r="A535" s="15"/>
      <c r="B535" s="1"/>
      <c r="C535" s="1">
        <v>860.56</v>
      </c>
      <c r="D535" s="19" t="s">
        <v>134</v>
      </c>
      <c r="E535" s="5"/>
      <c r="F535" s="5"/>
    </row>
    <row r="536" spans="1:6" x14ac:dyDescent="0.3">
      <c r="A536" s="15">
        <v>46</v>
      </c>
      <c r="B536" s="1" t="s">
        <v>7</v>
      </c>
      <c r="C536" s="1">
        <v>351.93</v>
      </c>
      <c r="D536" s="18">
        <v>0.13285</v>
      </c>
      <c r="E536" s="5">
        <v>4.2218200000000003E-3</v>
      </c>
      <c r="F536" s="5">
        <v>4.9751600000000002E-3</v>
      </c>
    </row>
    <row r="537" spans="1:6" x14ac:dyDescent="0.3">
      <c r="A537" s="15"/>
      <c r="B537" s="1"/>
      <c r="C537" s="1">
        <v>295.22000000000003</v>
      </c>
      <c r="D537" s="18">
        <v>7.8189999999999996E-2</v>
      </c>
      <c r="E537" s="5">
        <v>4.1204099999999997E-3</v>
      </c>
      <c r="F537" s="5">
        <v>7.0421099999999999E-3</v>
      </c>
    </row>
    <row r="538" spans="1:6" x14ac:dyDescent="0.3">
      <c r="A538" s="15"/>
      <c r="B538" s="1" t="s">
        <v>8</v>
      </c>
      <c r="C538" s="1">
        <v>609.32000000000005</v>
      </c>
      <c r="D538" s="18">
        <v>9.6119999999999997E-2</v>
      </c>
      <c r="E538" s="5">
        <v>3.4855900000000002E-3</v>
      </c>
      <c r="F538" s="6">
        <v>3.74414E-3</v>
      </c>
    </row>
    <row r="539" spans="1:6" x14ac:dyDescent="0.3">
      <c r="A539" s="15"/>
      <c r="B539" s="1"/>
      <c r="C539" s="1">
        <v>1764.49</v>
      </c>
      <c r="D539" s="18">
        <v>1.342E-2</v>
      </c>
      <c r="E539" s="7">
        <v>1.35305E-3</v>
      </c>
      <c r="F539" s="7">
        <v>1.67381E-3</v>
      </c>
    </row>
    <row r="540" spans="1:6" x14ac:dyDescent="0.3">
      <c r="A540" s="15"/>
      <c r="B540" s="1"/>
      <c r="C540" s="1">
        <v>1120.29</v>
      </c>
      <c r="D540" s="18">
        <v>1.8280000000000001E-2</v>
      </c>
      <c r="E540" s="5">
        <v>1.70783E-3</v>
      </c>
      <c r="F540" s="5">
        <v>2.4726700000000002E-3</v>
      </c>
    </row>
    <row r="541" spans="1:6" x14ac:dyDescent="0.3">
      <c r="A541" s="15"/>
      <c r="B541" s="1" t="s">
        <v>9</v>
      </c>
      <c r="C541" s="1">
        <v>1460.82</v>
      </c>
      <c r="D541" s="19">
        <v>2.699E-2</v>
      </c>
      <c r="E541" s="5">
        <v>1.8401100000000001E-3</v>
      </c>
      <c r="F541" s="5">
        <v>1.9813299999999999E-3</v>
      </c>
    </row>
    <row r="542" spans="1:6" x14ac:dyDescent="0.3">
      <c r="A542" s="15"/>
      <c r="B542" s="1" t="s">
        <v>10</v>
      </c>
      <c r="C542" s="1">
        <v>238.63</v>
      </c>
      <c r="D542" s="18">
        <v>0.29037000000000002</v>
      </c>
      <c r="E542" s="5">
        <v>6.2959899999999996E-3</v>
      </c>
      <c r="F542" s="5">
        <v>7.5100999999999996E-3</v>
      </c>
    </row>
    <row r="543" spans="1:6" x14ac:dyDescent="0.3">
      <c r="A543" s="15"/>
      <c r="B543" s="1" t="s">
        <v>11</v>
      </c>
      <c r="C543" s="1">
        <v>911.21</v>
      </c>
      <c r="D543" s="18">
        <v>5.595E-2</v>
      </c>
      <c r="E543" s="5">
        <v>2.6243400000000002E-3</v>
      </c>
      <c r="F543" s="5">
        <v>2.6755500000000001E-3</v>
      </c>
    </row>
    <row r="544" spans="1:6" x14ac:dyDescent="0.3">
      <c r="A544" s="15"/>
      <c r="B544" s="1"/>
      <c r="C544" s="1">
        <v>968.97</v>
      </c>
      <c r="D544" s="19">
        <v>3.1280000000000002E-2</v>
      </c>
      <c r="E544" s="5">
        <v>2.2359900000000002E-3</v>
      </c>
      <c r="F544" s="5">
        <v>3.2340099999999998E-3</v>
      </c>
    </row>
    <row r="545" spans="1:6" x14ac:dyDescent="0.3">
      <c r="A545" s="15"/>
      <c r="B545" s="1"/>
      <c r="C545" s="1">
        <v>338.32</v>
      </c>
      <c r="D545" s="18">
        <v>6.1100000000000002E-2</v>
      </c>
      <c r="E545" s="5">
        <v>3.4037500000000001E-3</v>
      </c>
      <c r="F545" s="5">
        <v>5.4978099999999997E-3</v>
      </c>
    </row>
    <row r="546" spans="1:6" x14ac:dyDescent="0.3">
      <c r="A546" s="15"/>
      <c r="B546" s="1" t="s">
        <v>12</v>
      </c>
      <c r="C546" s="1">
        <v>2614.5300000000002</v>
      </c>
      <c r="D546" s="18">
        <v>2.8899999999999999E-2</v>
      </c>
      <c r="E546" s="5">
        <v>1.7664899999999999E-3</v>
      </c>
      <c r="F546" s="5">
        <v>1.1525999999999999E-3</v>
      </c>
    </row>
    <row r="547" spans="1:6" x14ac:dyDescent="0.3">
      <c r="A547" s="15"/>
      <c r="B547" s="1"/>
      <c r="C547" s="1">
        <v>583.19000000000005</v>
      </c>
      <c r="D547" s="18">
        <v>8.2960000000000006E-2</v>
      </c>
      <c r="E547" s="5">
        <v>3.2410899999999999E-3</v>
      </c>
      <c r="F547" s="5">
        <v>3.4893599999999999E-3</v>
      </c>
    </row>
    <row r="548" spans="1:6" x14ac:dyDescent="0.3">
      <c r="A548" s="15"/>
      <c r="B548" s="1"/>
      <c r="C548" s="1">
        <v>510.77</v>
      </c>
      <c r="D548" s="18">
        <v>4.5719999999999997E-2</v>
      </c>
      <c r="E548" s="5">
        <v>2.8205299999999999E-3</v>
      </c>
      <c r="F548" s="5">
        <v>4.2696499999999998E-3</v>
      </c>
    </row>
    <row r="549" spans="1:6" x14ac:dyDescent="0.3">
      <c r="A549" s="15"/>
      <c r="B549" s="1"/>
      <c r="C549" s="1">
        <v>860.56</v>
      </c>
      <c r="D549" s="20">
        <v>5.4005960199999996E-3</v>
      </c>
      <c r="E549" s="7">
        <v>1.2860300000000001E-3</v>
      </c>
      <c r="F549" s="7">
        <v>2.4867000000000001E-3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9D12-9487-4E7C-A6A2-6A1EF9355265}">
  <dimension ref="A2:M549"/>
  <sheetViews>
    <sheetView topLeftCell="B1" workbookViewId="0">
      <selection activeCell="M9" sqref="M9"/>
    </sheetView>
  </sheetViews>
  <sheetFormatPr defaultRowHeight="14.4" x14ac:dyDescent="0.3"/>
  <cols>
    <col min="1" max="1" width="9" bestFit="1" customWidth="1"/>
    <col min="3" max="3" width="9" bestFit="1" customWidth="1"/>
    <col min="4" max="4" width="14.33203125" customWidth="1"/>
    <col min="5" max="5" width="14.6640625" customWidth="1"/>
    <col min="9" max="9" width="9" bestFit="1" customWidth="1"/>
    <col min="10" max="10" width="12.44140625" customWidth="1"/>
    <col min="11" max="11" width="11.6640625" customWidth="1"/>
    <col min="12" max="12" width="11.88671875" customWidth="1"/>
  </cols>
  <sheetData>
    <row r="2" spans="1:13" x14ac:dyDescent="0.3">
      <c r="M2" t="s">
        <v>232</v>
      </c>
    </row>
    <row r="3" spans="1:13" x14ac:dyDescent="0.3">
      <c r="A3" s="13" t="s">
        <v>1</v>
      </c>
      <c r="B3" s="8" t="s">
        <v>2</v>
      </c>
      <c r="C3" s="8" t="s">
        <v>3</v>
      </c>
      <c r="D3" s="8" t="s">
        <v>4</v>
      </c>
      <c r="E3" s="8" t="s">
        <v>6</v>
      </c>
    </row>
    <row r="4" spans="1:13" x14ac:dyDescent="0.3">
      <c r="A4" s="14">
        <v>1</v>
      </c>
      <c r="B4" s="9" t="s">
        <v>7</v>
      </c>
      <c r="C4" s="9">
        <v>351.93</v>
      </c>
      <c r="D4" s="27">
        <v>0.19961000000000001</v>
      </c>
      <c r="E4" s="2">
        <v>5.9222500000000004E-3</v>
      </c>
      <c r="G4" s="26"/>
      <c r="M4">
        <f>MAX(D4:E4)</f>
        <v>0.19961000000000001</v>
      </c>
    </row>
    <row r="5" spans="1:13" x14ac:dyDescent="0.3">
      <c r="A5" s="14"/>
      <c r="B5" s="9"/>
      <c r="C5" s="9">
        <v>295.22000000000003</v>
      </c>
      <c r="D5" s="28">
        <v>0.11296</v>
      </c>
      <c r="E5" s="10">
        <v>8.1173700000000005E-3</v>
      </c>
      <c r="M5">
        <f t="shared" ref="M5:M68" si="0">MAX(D5:E5)</f>
        <v>0.11296</v>
      </c>
    </row>
    <row r="6" spans="1:13" x14ac:dyDescent="0.3">
      <c r="A6" s="14"/>
      <c r="B6" s="9" t="s">
        <v>8</v>
      </c>
      <c r="C6" s="9">
        <v>609.32000000000005</v>
      </c>
      <c r="D6" s="28">
        <v>0.14685000000000001</v>
      </c>
      <c r="E6" s="10">
        <v>4.0903399999999996E-3</v>
      </c>
      <c r="M6">
        <f t="shared" si="0"/>
        <v>0.14685000000000001</v>
      </c>
    </row>
    <row r="7" spans="1:13" x14ac:dyDescent="0.3">
      <c r="A7" s="14"/>
      <c r="B7" s="9"/>
      <c r="C7" s="9">
        <v>1764.49</v>
      </c>
      <c r="D7" s="28">
        <v>2.392E-2</v>
      </c>
      <c r="E7" s="10">
        <v>1.5405200000000001E-3</v>
      </c>
      <c r="M7">
        <f t="shared" si="0"/>
        <v>2.392E-2</v>
      </c>
    </row>
    <row r="8" spans="1:13" x14ac:dyDescent="0.3">
      <c r="A8" s="14"/>
      <c r="B8" s="9"/>
      <c r="C8" s="9">
        <v>1120.29</v>
      </c>
      <c r="D8" s="28">
        <v>2.972E-2</v>
      </c>
      <c r="E8" s="10">
        <v>2.5804299999999999E-3</v>
      </c>
      <c r="M8">
        <f t="shared" si="0"/>
        <v>2.972E-2</v>
      </c>
    </row>
    <row r="9" spans="1:13" x14ac:dyDescent="0.3">
      <c r="A9" s="14"/>
      <c r="B9" s="9" t="s">
        <v>9</v>
      </c>
      <c r="C9" s="9">
        <v>1460.82</v>
      </c>
      <c r="D9" s="28">
        <v>1.426E-2</v>
      </c>
      <c r="E9" s="10">
        <v>2.0255899999999999E-3</v>
      </c>
      <c r="M9">
        <f t="shared" si="0"/>
        <v>1.426E-2</v>
      </c>
    </row>
    <row r="10" spans="1:13" x14ac:dyDescent="0.3">
      <c r="A10" s="14"/>
      <c r="B10" s="9" t="s">
        <v>10</v>
      </c>
      <c r="C10" s="9">
        <v>238.63</v>
      </c>
      <c r="D10" s="27">
        <v>0.33118999999999998</v>
      </c>
      <c r="E10" s="10">
        <v>9.9605900000000001E-3</v>
      </c>
      <c r="M10">
        <f t="shared" si="0"/>
        <v>0.33118999999999998</v>
      </c>
    </row>
    <row r="11" spans="1:13" x14ac:dyDescent="0.3">
      <c r="A11" s="14"/>
      <c r="B11" s="9" t="s">
        <v>11</v>
      </c>
      <c r="C11" s="9">
        <v>911.21</v>
      </c>
      <c r="D11" s="28">
        <v>7.1859999999999993E-2</v>
      </c>
      <c r="E11" s="10">
        <v>3.04309E-3</v>
      </c>
      <c r="M11">
        <f t="shared" si="0"/>
        <v>7.1859999999999993E-2</v>
      </c>
    </row>
    <row r="12" spans="1:13" x14ac:dyDescent="0.3">
      <c r="A12" s="14"/>
      <c r="B12" s="9"/>
      <c r="C12" s="9">
        <v>968.97</v>
      </c>
      <c r="D12" s="28">
        <v>4.5179999999999998E-2</v>
      </c>
      <c r="E12" s="10">
        <v>3.2478699999999999E-3</v>
      </c>
      <c r="M12">
        <f t="shared" si="0"/>
        <v>4.5179999999999998E-2</v>
      </c>
    </row>
    <row r="13" spans="1:13" x14ac:dyDescent="0.3">
      <c r="A13" s="14"/>
      <c r="B13" s="9"/>
      <c r="C13" s="9">
        <v>338.32</v>
      </c>
      <c r="D13" s="28">
        <v>7.0940000000000003E-2</v>
      </c>
      <c r="E13" s="10">
        <v>5.7838799999999999E-3</v>
      </c>
      <c r="M13">
        <f t="shared" si="0"/>
        <v>7.0940000000000003E-2</v>
      </c>
    </row>
    <row r="14" spans="1:13" x14ac:dyDescent="0.3">
      <c r="A14" s="14"/>
      <c r="B14" s="9" t="s">
        <v>12</v>
      </c>
      <c r="C14" s="9">
        <v>2614.5300000000002</v>
      </c>
      <c r="D14" s="28">
        <v>4.6179999999999999E-2</v>
      </c>
      <c r="E14" s="10">
        <v>1.0949499999999999E-3</v>
      </c>
      <c r="M14">
        <f t="shared" si="0"/>
        <v>4.6179999999999999E-2</v>
      </c>
    </row>
    <row r="15" spans="1:13" x14ac:dyDescent="0.3">
      <c r="A15" s="14"/>
      <c r="B15" s="9"/>
      <c r="C15" s="9">
        <v>583.19000000000005</v>
      </c>
      <c r="D15" s="28">
        <v>0.12161</v>
      </c>
      <c r="E15" s="10">
        <v>4.2074800000000004E-3</v>
      </c>
      <c r="M15">
        <f t="shared" si="0"/>
        <v>0.12161</v>
      </c>
    </row>
    <row r="16" spans="1:13" x14ac:dyDescent="0.3">
      <c r="A16" s="14"/>
      <c r="B16" s="9"/>
      <c r="C16" s="9">
        <v>510.77</v>
      </c>
      <c r="D16" s="28">
        <v>6.1429999999999998E-2</v>
      </c>
      <c r="E16" s="10">
        <v>4.9129600000000001E-3</v>
      </c>
      <c r="M16">
        <f t="shared" si="0"/>
        <v>6.1429999999999998E-2</v>
      </c>
    </row>
    <row r="17" spans="1:13" x14ac:dyDescent="0.3">
      <c r="A17" s="14"/>
      <c r="B17" s="9"/>
      <c r="C17" s="9">
        <v>860.56</v>
      </c>
      <c r="D17" s="28">
        <v>1.226E-2</v>
      </c>
      <c r="E17" s="10">
        <v>2.7631399999999999E-3</v>
      </c>
      <c r="M17">
        <f t="shared" si="0"/>
        <v>1.226E-2</v>
      </c>
    </row>
    <row r="18" spans="1:13" x14ac:dyDescent="0.3">
      <c r="A18" s="15">
        <v>2</v>
      </c>
      <c r="B18" s="1" t="s">
        <v>7</v>
      </c>
      <c r="C18" s="1">
        <v>351.93</v>
      </c>
      <c r="D18" s="28">
        <v>5.82836</v>
      </c>
      <c r="E18" s="3">
        <v>3.8589999999999999E-2</v>
      </c>
      <c r="M18">
        <f t="shared" si="0"/>
        <v>5.82836</v>
      </c>
    </row>
    <row r="19" spans="1:13" x14ac:dyDescent="0.3">
      <c r="A19" s="15"/>
      <c r="B19" s="1"/>
      <c r="C19" s="1">
        <v>295.22000000000003</v>
      </c>
      <c r="D19" s="28">
        <v>3.4231600000000002</v>
      </c>
      <c r="E19" s="3">
        <v>6.2480000000000001E-2</v>
      </c>
      <c r="M19">
        <f t="shared" si="0"/>
        <v>3.4231600000000002</v>
      </c>
    </row>
    <row r="20" spans="1:13" x14ac:dyDescent="0.3">
      <c r="A20" s="15"/>
      <c r="B20" s="1" t="s">
        <v>8</v>
      </c>
      <c r="C20" s="1">
        <v>609.32000000000005</v>
      </c>
      <c r="D20" s="28">
        <v>4.2398699999999998</v>
      </c>
      <c r="E20" s="3">
        <v>2.325E-2</v>
      </c>
      <c r="M20">
        <f t="shared" si="0"/>
        <v>4.2398699999999998</v>
      </c>
    </row>
    <row r="21" spans="1:13" x14ac:dyDescent="0.3">
      <c r="A21" s="15"/>
      <c r="B21" s="1"/>
      <c r="C21" s="1">
        <v>1764.49</v>
      </c>
      <c r="D21" s="28">
        <v>0.66900999999999999</v>
      </c>
      <c r="E21" s="2">
        <v>9.2561199999999996E-3</v>
      </c>
      <c r="M21">
        <f t="shared" si="0"/>
        <v>0.66900999999999999</v>
      </c>
    </row>
    <row r="22" spans="1:13" x14ac:dyDescent="0.3">
      <c r="A22" s="15"/>
      <c r="B22" s="1"/>
      <c r="C22" s="1">
        <v>1120.29</v>
      </c>
      <c r="D22" s="28">
        <v>0.88829999999999998</v>
      </c>
      <c r="E22" s="3">
        <v>1.7659999999999999E-2</v>
      </c>
      <c r="M22">
        <f t="shared" si="0"/>
        <v>0.88829999999999998</v>
      </c>
    </row>
    <row r="23" spans="1:13" x14ac:dyDescent="0.3">
      <c r="A23" s="15"/>
      <c r="B23" s="1" t="s">
        <v>9</v>
      </c>
      <c r="C23" s="1">
        <v>1460.82</v>
      </c>
      <c r="D23" s="28">
        <v>9.2789999999999997E-2</v>
      </c>
      <c r="E23" s="2">
        <v>9.7633900000000003E-3</v>
      </c>
      <c r="M23">
        <f t="shared" si="0"/>
        <v>9.2789999999999997E-2</v>
      </c>
    </row>
    <row r="24" spans="1:13" x14ac:dyDescent="0.3">
      <c r="A24" s="15"/>
      <c r="B24" s="1" t="s">
        <v>10</v>
      </c>
      <c r="C24" s="1">
        <v>238.63</v>
      </c>
      <c r="D24" s="28">
        <v>23.590409999999999</v>
      </c>
      <c r="E24" s="3">
        <v>6.1809999999999997E-2</v>
      </c>
      <c r="M24">
        <f t="shared" si="0"/>
        <v>23.590409999999999</v>
      </c>
    </row>
    <row r="25" spans="1:13" x14ac:dyDescent="0.3">
      <c r="A25" s="15"/>
      <c r="B25" s="1" t="s">
        <v>11</v>
      </c>
      <c r="C25" s="1">
        <v>911.21</v>
      </c>
      <c r="D25" s="28">
        <v>4.5730300000000002</v>
      </c>
      <c r="E25" s="3">
        <v>2.0590000000000001E-2</v>
      </c>
      <c r="M25">
        <f t="shared" si="0"/>
        <v>4.5730300000000002</v>
      </c>
    </row>
    <row r="26" spans="1:13" x14ac:dyDescent="0.3">
      <c r="A26" s="15"/>
      <c r="B26" s="1"/>
      <c r="C26" s="1">
        <v>968.97</v>
      </c>
      <c r="D26" s="28">
        <v>2.6357599999999999</v>
      </c>
      <c r="E26" s="3">
        <v>1.7690000000000001E-2</v>
      </c>
      <c r="M26">
        <f t="shared" si="0"/>
        <v>2.6357599999999999</v>
      </c>
    </row>
    <row r="27" spans="1:13" x14ac:dyDescent="0.3">
      <c r="A27" s="15"/>
      <c r="B27" s="1"/>
      <c r="C27" s="1">
        <v>338.32</v>
      </c>
      <c r="D27" s="28">
        <v>4.4253499999999999</v>
      </c>
      <c r="E27" s="3">
        <v>5.9180000000000003E-2</v>
      </c>
      <c r="M27">
        <f t="shared" si="0"/>
        <v>4.4253499999999999</v>
      </c>
    </row>
    <row r="28" spans="1:13" x14ac:dyDescent="0.3">
      <c r="A28" s="15"/>
      <c r="B28" s="1" t="s">
        <v>12</v>
      </c>
      <c r="C28" s="1">
        <v>2614.5300000000002</v>
      </c>
      <c r="D28" s="28">
        <v>2.34572</v>
      </c>
      <c r="E28" s="2">
        <v>5.3340100000000001E-3</v>
      </c>
      <c r="M28">
        <f t="shared" si="0"/>
        <v>2.34572</v>
      </c>
    </row>
    <row r="29" spans="1:13" x14ac:dyDescent="0.3">
      <c r="A29" s="15"/>
      <c r="B29" s="1"/>
      <c r="C29" s="1">
        <v>583.19000000000005</v>
      </c>
      <c r="D29" s="28">
        <v>6.8753500000000001</v>
      </c>
      <c r="E29" s="3">
        <v>2.7400000000000001E-2</v>
      </c>
      <c r="M29">
        <f t="shared" si="0"/>
        <v>6.8753500000000001</v>
      </c>
    </row>
    <row r="30" spans="1:13" x14ac:dyDescent="0.3">
      <c r="A30" s="15"/>
      <c r="B30" s="1"/>
      <c r="C30" s="1">
        <v>510.77</v>
      </c>
      <c r="D30" s="28">
        <v>2.1968999999999999</v>
      </c>
      <c r="E30" s="3">
        <v>2.9190000000000001E-2</v>
      </c>
      <c r="M30">
        <f t="shared" si="0"/>
        <v>2.1968999999999999</v>
      </c>
    </row>
    <row r="31" spans="1:13" x14ac:dyDescent="0.3">
      <c r="A31" s="15"/>
      <c r="B31" s="1"/>
      <c r="C31" s="1">
        <v>860.56</v>
      </c>
      <c r="D31" s="28">
        <v>0.79091999999999996</v>
      </c>
      <c r="E31" s="3">
        <v>1.7559999999999999E-2</v>
      </c>
      <c r="M31">
        <f t="shared" si="0"/>
        <v>0.79091999999999996</v>
      </c>
    </row>
    <row r="32" spans="1:13" x14ac:dyDescent="0.3">
      <c r="A32" s="21">
        <v>3</v>
      </c>
      <c r="B32" s="1" t="s">
        <v>7</v>
      </c>
      <c r="C32" s="1">
        <v>351.93</v>
      </c>
      <c r="D32" s="28">
        <v>16.486910000000002</v>
      </c>
      <c r="E32" s="3">
        <v>4.947E-2</v>
      </c>
      <c r="M32">
        <f t="shared" si="0"/>
        <v>16.486910000000002</v>
      </c>
    </row>
    <row r="33" spans="1:13" x14ac:dyDescent="0.3">
      <c r="A33" s="15"/>
      <c r="B33" s="1"/>
      <c r="C33" s="1">
        <v>295.22000000000003</v>
      </c>
      <c r="D33" s="29">
        <v>9.5885800000000003</v>
      </c>
      <c r="E33" s="3">
        <v>6.7720000000000002E-2</v>
      </c>
      <c r="M33">
        <f t="shared" si="0"/>
        <v>9.5885800000000003</v>
      </c>
    </row>
    <row r="34" spans="1:13" x14ac:dyDescent="0.3">
      <c r="A34" s="15"/>
      <c r="B34" s="1" t="s">
        <v>8</v>
      </c>
      <c r="C34" s="1">
        <v>609.32000000000005</v>
      </c>
      <c r="D34" s="29">
        <v>12.20491</v>
      </c>
      <c r="E34" s="3">
        <v>4.2590000000000003E-2</v>
      </c>
      <c r="M34">
        <f t="shared" si="0"/>
        <v>12.20491</v>
      </c>
    </row>
    <row r="35" spans="1:13" x14ac:dyDescent="0.3">
      <c r="A35" s="15"/>
      <c r="B35" s="1"/>
      <c r="C35" s="1">
        <v>1764.49</v>
      </c>
      <c r="D35" s="28">
        <v>1.9962500000000001</v>
      </c>
      <c r="E35" s="3">
        <v>1.257E-2</v>
      </c>
      <c r="M35">
        <f t="shared" si="0"/>
        <v>1.9962500000000001</v>
      </c>
    </row>
    <row r="36" spans="1:13" x14ac:dyDescent="0.3">
      <c r="A36" s="15"/>
      <c r="B36" s="1"/>
      <c r="C36" s="1">
        <v>1120.29</v>
      </c>
      <c r="D36" s="29">
        <v>2.5588099999999998</v>
      </c>
      <c r="E36" s="3">
        <v>2.4629999999999999E-2</v>
      </c>
      <c r="M36">
        <f t="shared" si="0"/>
        <v>2.5588099999999998</v>
      </c>
    </row>
    <row r="37" spans="1:13" x14ac:dyDescent="0.3">
      <c r="A37" s="15"/>
      <c r="B37" s="1" t="s">
        <v>9</v>
      </c>
      <c r="C37" s="1">
        <v>1460.82</v>
      </c>
      <c r="D37" s="29">
        <v>0.12573000000000001</v>
      </c>
      <c r="E37" s="3">
        <v>1.5140000000000001E-2</v>
      </c>
      <c r="M37">
        <f t="shared" si="0"/>
        <v>0.12573000000000001</v>
      </c>
    </row>
    <row r="38" spans="1:13" x14ac:dyDescent="0.3">
      <c r="A38" s="15"/>
      <c r="B38" s="1" t="s">
        <v>10</v>
      </c>
      <c r="C38" s="1">
        <v>238.63</v>
      </c>
      <c r="D38" s="28">
        <v>28.660440000000001</v>
      </c>
      <c r="E38" s="3">
        <v>8.7370000000000003E-2</v>
      </c>
      <c r="M38">
        <f t="shared" si="0"/>
        <v>28.660440000000001</v>
      </c>
    </row>
    <row r="39" spans="1:13" x14ac:dyDescent="0.3">
      <c r="A39" s="15"/>
      <c r="B39" s="1" t="s">
        <v>11</v>
      </c>
      <c r="C39" s="1">
        <v>911.21</v>
      </c>
      <c r="D39" s="28">
        <v>6.30037</v>
      </c>
      <c r="E39" s="3">
        <v>3.049E-2</v>
      </c>
      <c r="M39">
        <f t="shared" si="0"/>
        <v>6.30037</v>
      </c>
    </row>
    <row r="40" spans="1:13" x14ac:dyDescent="0.3">
      <c r="A40" s="15"/>
      <c r="B40" s="1"/>
      <c r="C40" s="1">
        <v>968.97</v>
      </c>
      <c r="D40" s="28">
        <v>3.6341000000000001</v>
      </c>
      <c r="E40" s="3">
        <v>2.75E-2</v>
      </c>
      <c r="M40">
        <f t="shared" si="0"/>
        <v>3.6341000000000001</v>
      </c>
    </row>
    <row r="41" spans="1:13" x14ac:dyDescent="0.3">
      <c r="A41" s="15"/>
      <c r="B41" s="1"/>
      <c r="C41" s="1">
        <v>338.32</v>
      </c>
      <c r="D41" s="28">
        <v>5.8263400000000001</v>
      </c>
      <c r="E41" s="3">
        <v>7.9960000000000003E-2</v>
      </c>
      <c r="M41">
        <f t="shared" si="0"/>
        <v>5.8263400000000001</v>
      </c>
    </row>
    <row r="42" spans="1:13" x14ac:dyDescent="0.3">
      <c r="A42" s="15"/>
      <c r="B42" s="1" t="s">
        <v>12</v>
      </c>
      <c r="C42" s="1">
        <v>2614.5300000000002</v>
      </c>
      <c r="D42" s="28">
        <v>3.26315</v>
      </c>
      <c r="E42" s="2">
        <v>6.5196000000000004E-3</v>
      </c>
      <c r="M42">
        <f t="shared" si="0"/>
        <v>3.26315</v>
      </c>
    </row>
    <row r="43" spans="1:13" x14ac:dyDescent="0.3">
      <c r="A43" s="15"/>
      <c r="B43" s="1"/>
      <c r="C43" s="1">
        <v>583.19000000000005</v>
      </c>
      <c r="D43" s="28">
        <v>9.3568800000000003</v>
      </c>
      <c r="E43" s="3">
        <v>4.0059999999999998E-2</v>
      </c>
      <c r="M43">
        <f t="shared" si="0"/>
        <v>9.3568800000000003</v>
      </c>
    </row>
    <row r="44" spans="1:13" x14ac:dyDescent="0.3">
      <c r="A44" s="15"/>
      <c r="B44" s="1"/>
      <c r="C44" s="1">
        <v>510.77</v>
      </c>
      <c r="D44" s="29">
        <v>3.1710500000000001</v>
      </c>
      <c r="E44" s="3">
        <v>4.7509999999999997E-2</v>
      </c>
      <c r="M44">
        <f t="shared" si="0"/>
        <v>3.1710500000000001</v>
      </c>
    </row>
    <row r="45" spans="1:13" x14ac:dyDescent="0.3">
      <c r="A45" s="15"/>
      <c r="B45" s="1"/>
      <c r="C45" s="1">
        <v>860.56</v>
      </c>
      <c r="D45" s="28">
        <v>1.0966199999999999</v>
      </c>
      <c r="E45" s="3">
        <v>2.3570000000000001E-2</v>
      </c>
      <c r="M45">
        <f t="shared" si="0"/>
        <v>1.0966199999999999</v>
      </c>
    </row>
    <row r="46" spans="1:13" x14ac:dyDescent="0.3">
      <c r="A46" s="21">
        <v>4</v>
      </c>
      <c r="B46" s="1" t="s">
        <v>7</v>
      </c>
      <c r="C46" s="1">
        <v>351.93</v>
      </c>
      <c r="D46" s="28">
        <v>8.6722699999999993</v>
      </c>
      <c r="E46" s="3">
        <v>4.0379999999999999E-2</v>
      </c>
      <c r="M46">
        <f t="shared" si="0"/>
        <v>8.6722699999999993</v>
      </c>
    </row>
    <row r="47" spans="1:13" x14ac:dyDescent="0.3">
      <c r="A47" s="15"/>
      <c r="B47" s="1"/>
      <c r="C47" s="1">
        <v>295.22000000000003</v>
      </c>
      <c r="D47" s="29">
        <v>5.1073399999999998</v>
      </c>
      <c r="E47" s="3">
        <v>6.9309999999999997E-2</v>
      </c>
      <c r="M47">
        <f t="shared" si="0"/>
        <v>5.1073399999999998</v>
      </c>
    </row>
    <row r="48" spans="1:13" x14ac:dyDescent="0.3">
      <c r="A48" s="15"/>
      <c r="B48" s="1" t="s">
        <v>8</v>
      </c>
      <c r="C48" s="1">
        <v>609.32000000000005</v>
      </c>
      <c r="D48" s="28">
        <v>6.2674799999999999</v>
      </c>
      <c r="E48" s="3">
        <v>3.0030000000000001E-2</v>
      </c>
      <c r="M48">
        <f t="shared" si="0"/>
        <v>6.2674799999999999</v>
      </c>
    </row>
    <row r="49" spans="1:13" x14ac:dyDescent="0.3">
      <c r="A49" s="15"/>
      <c r="B49" s="1"/>
      <c r="C49" s="1">
        <v>1764.49</v>
      </c>
      <c r="D49" s="28">
        <v>1.0042899999999999</v>
      </c>
      <c r="E49" s="2">
        <v>9.3615399999999998E-3</v>
      </c>
      <c r="M49">
        <f t="shared" si="0"/>
        <v>1.0042899999999999</v>
      </c>
    </row>
    <row r="50" spans="1:13" x14ac:dyDescent="0.3">
      <c r="A50" s="15"/>
      <c r="B50" s="1"/>
      <c r="C50" s="1">
        <v>1120.29</v>
      </c>
      <c r="D50" s="29">
        <v>1.3057300000000001</v>
      </c>
      <c r="E50" s="3">
        <v>1.8100000000000002E-2</v>
      </c>
      <c r="M50">
        <f t="shared" si="0"/>
        <v>1.3057300000000001</v>
      </c>
    </row>
    <row r="51" spans="1:13" x14ac:dyDescent="0.3">
      <c r="A51" s="15"/>
      <c r="B51" s="1" t="s">
        <v>9</v>
      </c>
      <c r="C51" s="1">
        <v>1460.82</v>
      </c>
      <c r="D51" s="29">
        <v>7.5660000000000005E-2</v>
      </c>
      <c r="E51" s="2">
        <v>9.8457200000000005E-3</v>
      </c>
      <c r="M51">
        <f t="shared" si="0"/>
        <v>7.5660000000000005E-2</v>
      </c>
    </row>
    <row r="52" spans="1:13" x14ac:dyDescent="0.3">
      <c r="A52" s="15"/>
      <c r="B52" s="1" t="s">
        <v>10</v>
      </c>
      <c r="C52" s="1">
        <v>238.63</v>
      </c>
      <c r="D52" s="28">
        <v>19.508400000000002</v>
      </c>
      <c r="E52" s="3">
        <v>6.234E-2</v>
      </c>
      <c r="M52">
        <f t="shared" si="0"/>
        <v>19.508400000000002</v>
      </c>
    </row>
    <row r="53" spans="1:13" x14ac:dyDescent="0.3">
      <c r="A53" s="15"/>
      <c r="B53" s="1" t="s">
        <v>11</v>
      </c>
      <c r="C53" s="1">
        <v>911.21</v>
      </c>
      <c r="D53" s="28">
        <v>3.9626700000000001</v>
      </c>
      <c r="E53" s="3">
        <v>2.128E-2</v>
      </c>
      <c r="M53">
        <f t="shared" si="0"/>
        <v>3.9626700000000001</v>
      </c>
    </row>
    <row r="54" spans="1:13" x14ac:dyDescent="0.3">
      <c r="A54" s="15"/>
      <c r="B54" s="1"/>
      <c r="C54" s="1">
        <v>968.97</v>
      </c>
      <c r="D54" s="28">
        <v>2.2930899999999999</v>
      </c>
      <c r="E54" s="3">
        <v>2.1309999999999999E-2</v>
      </c>
      <c r="M54">
        <f t="shared" si="0"/>
        <v>2.2930899999999999</v>
      </c>
    </row>
    <row r="55" spans="1:13" x14ac:dyDescent="0.3">
      <c r="A55" s="15"/>
      <c r="B55" s="1"/>
      <c r="C55" s="1">
        <v>338.32</v>
      </c>
      <c r="D55" s="28">
        <v>3.8723800000000002</v>
      </c>
      <c r="E55" s="3">
        <v>5.7619999999999998E-2</v>
      </c>
      <c r="M55">
        <f t="shared" si="0"/>
        <v>3.8723800000000002</v>
      </c>
    </row>
    <row r="56" spans="1:13" x14ac:dyDescent="0.3">
      <c r="A56" s="15"/>
      <c r="B56" s="1" t="s">
        <v>12</v>
      </c>
      <c r="C56" s="1">
        <v>2614.5300000000002</v>
      </c>
      <c r="D56" s="28">
        <v>2.0161899999999999</v>
      </c>
      <c r="E56" s="2">
        <v>4.8617299999999999E-3</v>
      </c>
      <c r="M56">
        <f t="shared" si="0"/>
        <v>2.0161899999999999</v>
      </c>
    </row>
    <row r="57" spans="1:13" x14ac:dyDescent="0.3">
      <c r="A57" s="15"/>
      <c r="B57" s="1"/>
      <c r="C57" s="1">
        <v>583.19000000000005</v>
      </c>
      <c r="D57" s="28">
        <v>5.9412900000000004</v>
      </c>
      <c r="E57" s="3">
        <v>2.8250000000000001E-2</v>
      </c>
      <c r="M57">
        <f t="shared" si="0"/>
        <v>5.9412900000000004</v>
      </c>
    </row>
    <row r="58" spans="1:13" x14ac:dyDescent="0.3">
      <c r="A58" s="15"/>
      <c r="B58" s="1"/>
      <c r="C58" s="1">
        <v>510.77</v>
      </c>
      <c r="D58" s="28">
        <v>1.9478800000000001</v>
      </c>
      <c r="E58" s="3">
        <v>3.422E-2</v>
      </c>
      <c r="M58">
        <f t="shared" si="0"/>
        <v>1.9478800000000001</v>
      </c>
    </row>
    <row r="59" spans="1:13" x14ac:dyDescent="0.3">
      <c r="A59" s="15"/>
      <c r="B59" s="1"/>
      <c r="C59" s="1">
        <v>860.56</v>
      </c>
      <c r="D59" s="28">
        <v>0.67796999999999996</v>
      </c>
      <c r="E59" s="3">
        <v>1.6250000000000001E-2</v>
      </c>
      <c r="M59">
        <f t="shared" si="0"/>
        <v>0.67796999999999996</v>
      </c>
    </row>
    <row r="60" spans="1:13" x14ac:dyDescent="0.3">
      <c r="A60" s="21">
        <v>6</v>
      </c>
      <c r="B60" s="1" t="s">
        <v>7</v>
      </c>
      <c r="C60" s="1">
        <v>351.93</v>
      </c>
      <c r="D60" s="30">
        <v>6.1359999999999998E-2</v>
      </c>
      <c r="E60" s="5">
        <v>4.1686199999999996E-3</v>
      </c>
      <c r="M60">
        <f t="shared" si="0"/>
        <v>6.1359999999999998E-2</v>
      </c>
    </row>
    <row r="61" spans="1:13" x14ac:dyDescent="0.3">
      <c r="A61" s="15"/>
      <c r="B61" s="1"/>
      <c r="C61" s="1">
        <v>295.22000000000003</v>
      </c>
      <c r="D61" s="30">
        <v>3.5299999999999998E-2</v>
      </c>
      <c r="E61" s="5">
        <v>5.6811800000000001E-3</v>
      </c>
      <c r="M61">
        <f t="shared" si="0"/>
        <v>3.5299999999999998E-2</v>
      </c>
    </row>
    <row r="62" spans="1:13" x14ac:dyDescent="0.3">
      <c r="A62" s="15"/>
      <c r="B62" s="1" t="s">
        <v>8</v>
      </c>
      <c r="C62" s="1">
        <v>609.32000000000005</v>
      </c>
      <c r="D62" s="30">
        <v>4.3240000000000001E-2</v>
      </c>
      <c r="E62" s="5">
        <v>3.0106999999999998E-3</v>
      </c>
      <c r="M62">
        <f t="shared" si="0"/>
        <v>4.3240000000000001E-2</v>
      </c>
    </row>
    <row r="63" spans="1:13" x14ac:dyDescent="0.3">
      <c r="A63" s="15"/>
      <c r="B63" s="1"/>
      <c r="C63" s="1">
        <v>1764.49</v>
      </c>
      <c r="D63" s="31">
        <v>5.7285910799999996E-3</v>
      </c>
      <c r="E63" s="5">
        <v>1.3930399999999999E-3</v>
      </c>
      <c r="M63">
        <f t="shared" si="0"/>
        <v>5.7285910799999996E-3</v>
      </c>
    </row>
    <row r="64" spans="1:13" x14ac:dyDescent="0.3">
      <c r="A64" s="15"/>
      <c r="B64" s="1"/>
      <c r="C64" s="1">
        <v>1120.29</v>
      </c>
      <c r="D64" s="32">
        <v>7.6211673600000002E-3</v>
      </c>
      <c r="E64" s="5">
        <v>1.86213E-3</v>
      </c>
      <c r="M64">
        <f t="shared" si="0"/>
        <v>7.6211673600000002E-3</v>
      </c>
    </row>
    <row r="65" spans="1:13" x14ac:dyDescent="0.3">
      <c r="A65" s="15"/>
      <c r="B65" s="1" t="s">
        <v>9</v>
      </c>
      <c r="C65" s="1">
        <v>1460.82</v>
      </c>
      <c r="D65" s="32">
        <v>8.5925682499999999E-3</v>
      </c>
      <c r="E65" s="5">
        <v>1.6646600000000001E-3</v>
      </c>
      <c r="M65">
        <f t="shared" si="0"/>
        <v>8.5925682499999999E-3</v>
      </c>
    </row>
    <row r="66" spans="1:13" x14ac:dyDescent="0.3">
      <c r="A66" s="15"/>
      <c r="B66" s="1" t="s">
        <v>10</v>
      </c>
      <c r="C66" s="1">
        <v>238.63</v>
      </c>
      <c r="D66" s="30">
        <v>0.22578999999999999</v>
      </c>
      <c r="E66" s="5">
        <v>6.5332200000000002E-3</v>
      </c>
      <c r="M66">
        <f t="shared" si="0"/>
        <v>0.22578999999999999</v>
      </c>
    </row>
    <row r="67" spans="1:13" x14ac:dyDescent="0.3">
      <c r="A67" s="15"/>
      <c r="B67" s="1" t="s">
        <v>11</v>
      </c>
      <c r="C67" s="1">
        <v>911.21</v>
      </c>
      <c r="D67" s="30">
        <v>4.0809999999999999E-2</v>
      </c>
      <c r="E67" s="5">
        <v>2.2613300000000002E-3</v>
      </c>
      <c r="M67">
        <f t="shared" si="0"/>
        <v>4.0809999999999999E-2</v>
      </c>
    </row>
    <row r="68" spans="1:13" x14ac:dyDescent="0.3">
      <c r="A68" s="15"/>
      <c r="B68" s="1"/>
      <c r="C68" s="1">
        <v>968.97</v>
      </c>
      <c r="D68" s="30">
        <v>2.3380000000000001E-2</v>
      </c>
      <c r="E68" s="5">
        <v>2.5960900000000001E-3</v>
      </c>
      <c r="M68">
        <f t="shared" si="0"/>
        <v>2.3380000000000001E-2</v>
      </c>
    </row>
    <row r="69" spans="1:13" x14ac:dyDescent="0.3">
      <c r="A69" s="15"/>
      <c r="B69" s="1"/>
      <c r="C69" s="1">
        <v>338.32</v>
      </c>
      <c r="D69" s="30">
        <v>4.1689999999999998E-2</v>
      </c>
      <c r="E69" s="5">
        <v>4.5056000000000002E-3</v>
      </c>
      <c r="M69">
        <f t="shared" ref="M69:M132" si="1">MAX(D69:E69)</f>
        <v>4.1689999999999998E-2</v>
      </c>
    </row>
    <row r="70" spans="1:13" x14ac:dyDescent="0.3">
      <c r="A70" s="15"/>
      <c r="B70" s="1" t="s">
        <v>12</v>
      </c>
      <c r="C70" s="1">
        <v>2614.5300000000002</v>
      </c>
      <c r="D70" s="33">
        <v>2.4289999999999999E-2</v>
      </c>
      <c r="E70" s="5">
        <v>1.1711499999999999E-3</v>
      </c>
      <c r="M70">
        <f t="shared" si="1"/>
        <v>2.4289999999999999E-2</v>
      </c>
    </row>
    <row r="71" spans="1:13" x14ac:dyDescent="0.3">
      <c r="A71" s="15"/>
      <c r="B71" s="1"/>
      <c r="C71" s="1">
        <v>583.19000000000005</v>
      </c>
      <c r="D71" s="30">
        <v>6.2469999999999998E-2</v>
      </c>
      <c r="E71" s="6">
        <v>3.2333000000000001E-3</v>
      </c>
      <c r="M71">
        <f t="shared" si="1"/>
        <v>6.2469999999999998E-2</v>
      </c>
    </row>
    <row r="72" spans="1:13" x14ac:dyDescent="0.3">
      <c r="A72" s="15"/>
      <c r="B72" s="1"/>
      <c r="C72" s="1">
        <v>510.77</v>
      </c>
      <c r="D72" s="30">
        <v>3.8989999999999997E-2</v>
      </c>
      <c r="E72" s="5">
        <v>3.8618599999999999E-3</v>
      </c>
      <c r="M72">
        <f t="shared" si="1"/>
        <v>3.8989999999999997E-2</v>
      </c>
    </row>
    <row r="73" spans="1:13" x14ac:dyDescent="0.3">
      <c r="A73" s="15"/>
      <c r="B73" s="1"/>
      <c r="C73" s="1">
        <v>860.56</v>
      </c>
      <c r="D73" s="31">
        <v>6.3352855699999999E-3</v>
      </c>
      <c r="E73" s="5">
        <v>2.0140399999999999E-3</v>
      </c>
      <c r="M73">
        <f t="shared" si="1"/>
        <v>6.3352855699999999E-3</v>
      </c>
    </row>
    <row r="74" spans="1:13" x14ac:dyDescent="0.3">
      <c r="A74" s="15">
        <v>7</v>
      </c>
      <c r="B74" s="1" t="s">
        <v>7</v>
      </c>
      <c r="C74" s="1">
        <v>351.93</v>
      </c>
      <c r="D74" s="28">
        <v>5.4020700000000001</v>
      </c>
      <c r="E74" s="3">
        <v>3.1949999999999999E-2</v>
      </c>
      <c r="M74">
        <f t="shared" si="1"/>
        <v>5.4020700000000001</v>
      </c>
    </row>
    <row r="75" spans="1:13" x14ac:dyDescent="0.3">
      <c r="A75" s="15"/>
      <c r="B75" s="1"/>
      <c r="C75" s="1">
        <v>295.22000000000003</v>
      </c>
      <c r="D75" s="28">
        <v>3.2126800000000002</v>
      </c>
      <c r="E75" s="3">
        <v>4.5310000000000003E-2</v>
      </c>
      <c r="M75">
        <f t="shared" si="1"/>
        <v>3.2126800000000002</v>
      </c>
    </row>
    <row r="76" spans="1:13" x14ac:dyDescent="0.3">
      <c r="A76" s="15"/>
      <c r="B76" s="1" t="s">
        <v>8</v>
      </c>
      <c r="C76" s="1">
        <v>609.32000000000005</v>
      </c>
      <c r="D76" s="28">
        <v>3.8242600000000002</v>
      </c>
      <c r="E76" s="3">
        <v>2.3130000000000001E-2</v>
      </c>
      <c r="M76">
        <f t="shared" si="1"/>
        <v>3.8242600000000002</v>
      </c>
    </row>
    <row r="77" spans="1:13" x14ac:dyDescent="0.3">
      <c r="A77" s="15"/>
      <c r="B77" s="1"/>
      <c r="C77" s="1">
        <v>1764.49</v>
      </c>
      <c r="D77" s="28">
        <v>0.59765999999999997</v>
      </c>
      <c r="E77" s="2">
        <v>8.2332199999999994E-3</v>
      </c>
      <c r="M77">
        <f t="shared" si="1"/>
        <v>0.59765999999999997</v>
      </c>
    </row>
    <row r="78" spans="1:13" x14ac:dyDescent="0.3">
      <c r="A78" s="15"/>
      <c r="B78" s="1"/>
      <c r="C78" s="1">
        <v>1120.29</v>
      </c>
      <c r="D78" s="28">
        <v>0.78246000000000004</v>
      </c>
      <c r="E78" s="3">
        <v>1.1639999999999999E-2</v>
      </c>
      <c r="M78">
        <f t="shared" si="1"/>
        <v>0.78246000000000004</v>
      </c>
    </row>
    <row r="79" spans="1:13" x14ac:dyDescent="0.3">
      <c r="A79" s="15"/>
      <c r="B79" s="1" t="s">
        <v>9</v>
      </c>
      <c r="C79" s="1">
        <v>1460.82</v>
      </c>
      <c r="D79" s="28">
        <v>9.4839999999999994E-2</v>
      </c>
      <c r="E79" s="3">
        <v>1.0070000000000001E-2</v>
      </c>
      <c r="M79">
        <f t="shared" si="1"/>
        <v>9.4839999999999994E-2</v>
      </c>
    </row>
    <row r="80" spans="1:13" x14ac:dyDescent="0.3">
      <c r="A80" s="15"/>
      <c r="B80" s="1" t="s">
        <v>10</v>
      </c>
      <c r="C80" s="1">
        <v>238.63</v>
      </c>
      <c r="D80" s="28">
        <v>21.03227</v>
      </c>
      <c r="E80" s="3">
        <v>5.2510000000000001E-2</v>
      </c>
      <c r="M80">
        <f t="shared" si="1"/>
        <v>21.03227</v>
      </c>
    </row>
    <row r="81" spans="1:13" x14ac:dyDescent="0.3">
      <c r="A81" s="15"/>
      <c r="B81" s="1" t="s">
        <v>11</v>
      </c>
      <c r="C81" s="1">
        <v>911.21</v>
      </c>
      <c r="D81" s="28">
        <v>3.85616</v>
      </c>
      <c r="E81" s="3">
        <v>1.865E-2</v>
      </c>
      <c r="M81">
        <f t="shared" si="1"/>
        <v>3.85616</v>
      </c>
    </row>
    <row r="82" spans="1:13" x14ac:dyDescent="0.3">
      <c r="A82" s="15"/>
      <c r="B82" s="1"/>
      <c r="C82" s="1">
        <v>968.97</v>
      </c>
      <c r="D82" s="28">
        <v>2.2327300000000001</v>
      </c>
      <c r="E82" s="3">
        <v>1.822E-2</v>
      </c>
      <c r="M82">
        <f t="shared" si="1"/>
        <v>2.2327300000000001</v>
      </c>
    </row>
    <row r="83" spans="1:13" x14ac:dyDescent="0.3">
      <c r="A83" s="15"/>
      <c r="B83" s="1"/>
      <c r="C83" s="1">
        <v>338.32</v>
      </c>
      <c r="D83" s="28">
        <v>3.9106399999999999</v>
      </c>
      <c r="E83" s="3">
        <v>4.9270000000000001E-2</v>
      </c>
      <c r="M83">
        <f t="shared" si="1"/>
        <v>3.9106399999999999</v>
      </c>
    </row>
    <row r="84" spans="1:13" x14ac:dyDescent="0.3">
      <c r="A84" s="15"/>
      <c r="B84" s="1" t="s">
        <v>12</v>
      </c>
      <c r="C84" s="1">
        <v>2614.5300000000002</v>
      </c>
      <c r="D84" s="28">
        <v>1.9287799999999999</v>
      </c>
      <c r="E84" s="6">
        <v>4.3545499999999996E-3</v>
      </c>
      <c r="M84">
        <f t="shared" si="1"/>
        <v>1.9287799999999999</v>
      </c>
    </row>
    <row r="85" spans="1:13" x14ac:dyDescent="0.3">
      <c r="A85" s="15"/>
      <c r="B85" s="1"/>
      <c r="C85" s="1">
        <v>583.19000000000005</v>
      </c>
      <c r="D85" s="28">
        <v>5.9160300000000001</v>
      </c>
      <c r="E85" s="3">
        <v>2.598E-2</v>
      </c>
      <c r="M85">
        <f t="shared" si="1"/>
        <v>5.9160300000000001</v>
      </c>
    </row>
    <row r="86" spans="1:13" x14ac:dyDescent="0.3">
      <c r="A86" s="15"/>
      <c r="B86" s="1"/>
      <c r="C86" s="1">
        <v>510.77</v>
      </c>
      <c r="D86" s="28">
        <v>1.82189</v>
      </c>
      <c r="E86" s="3">
        <v>2.5579999999999999E-2</v>
      </c>
      <c r="M86">
        <f t="shared" si="1"/>
        <v>1.82189</v>
      </c>
    </row>
    <row r="87" spans="1:13" x14ac:dyDescent="0.3">
      <c r="A87" s="15"/>
      <c r="B87" s="1"/>
      <c r="C87" s="1">
        <v>860.56</v>
      </c>
      <c r="D87" s="28">
        <v>0.66524000000000005</v>
      </c>
      <c r="E87" s="3">
        <v>1.5699999999999999E-2</v>
      </c>
      <c r="M87">
        <f t="shared" si="1"/>
        <v>0.66524000000000005</v>
      </c>
    </row>
    <row r="88" spans="1:13" x14ac:dyDescent="0.3">
      <c r="A88" s="15">
        <v>8</v>
      </c>
      <c r="B88" s="1" t="s">
        <v>7</v>
      </c>
      <c r="C88" s="1">
        <v>351.93</v>
      </c>
      <c r="D88" s="30">
        <v>3.2261099999999998</v>
      </c>
      <c r="E88" s="4">
        <v>2.3869999999999999E-2</v>
      </c>
      <c r="M88">
        <f t="shared" si="1"/>
        <v>3.2261099999999998</v>
      </c>
    </row>
    <row r="89" spans="1:13" x14ac:dyDescent="0.3">
      <c r="A89" s="15"/>
      <c r="B89" s="1"/>
      <c r="C89" s="1">
        <v>295.22000000000003</v>
      </c>
      <c r="D89" s="30">
        <v>1.90855</v>
      </c>
      <c r="E89" s="4">
        <v>4.0930000000000001E-2</v>
      </c>
      <c r="M89">
        <f t="shared" si="1"/>
        <v>1.90855</v>
      </c>
    </row>
    <row r="90" spans="1:13" x14ac:dyDescent="0.3">
      <c r="A90" s="15"/>
      <c r="B90" s="1" t="s">
        <v>8</v>
      </c>
      <c r="C90" s="1">
        <v>609.32000000000005</v>
      </c>
      <c r="D90" s="30">
        <v>2.2885200000000001</v>
      </c>
      <c r="E90" s="4">
        <v>1.7399999999999999E-2</v>
      </c>
      <c r="M90">
        <f t="shared" si="1"/>
        <v>2.2885200000000001</v>
      </c>
    </row>
    <row r="91" spans="1:13" x14ac:dyDescent="0.3">
      <c r="A91" s="15"/>
      <c r="B91" s="1"/>
      <c r="C91" s="1">
        <v>1764.49</v>
      </c>
      <c r="D91" s="30">
        <v>0.35025000000000001</v>
      </c>
      <c r="E91" s="5">
        <v>6.5804799999999997E-3</v>
      </c>
      <c r="M91">
        <f t="shared" si="1"/>
        <v>0.35025000000000001</v>
      </c>
    </row>
    <row r="92" spans="1:13" x14ac:dyDescent="0.3">
      <c r="A92" s="15"/>
      <c r="B92" s="1"/>
      <c r="C92" s="1">
        <v>1120.29</v>
      </c>
      <c r="D92" s="30">
        <v>0.46892</v>
      </c>
      <c r="E92" s="4">
        <v>1.218E-2</v>
      </c>
      <c r="M92">
        <f t="shared" si="1"/>
        <v>0.46892</v>
      </c>
    </row>
    <row r="93" spans="1:13" x14ac:dyDescent="0.3">
      <c r="A93" s="15"/>
      <c r="B93" s="1" t="s">
        <v>9</v>
      </c>
      <c r="C93" s="1">
        <v>1460.82</v>
      </c>
      <c r="D93" s="30">
        <v>5.2080000000000001E-2</v>
      </c>
      <c r="E93" s="5">
        <v>6.8042900000000002E-3</v>
      </c>
      <c r="M93">
        <f t="shared" si="1"/>
        <v>5.2080000000000001E-2</v>
      </c>
    </row>
    <row r="94" spans="1:13" x14ac:dyDescent="0.3">
      <c r="A94" s="15"/>
      <c r="B94" s="1" t="s">
        <v>10</v>
      </c>
      <c r="C94" s="1">
        <v>238.63</v>
      </c>
      <c r="D94" s="30">
        <v>12.77411</v>
      </c>
      <c r="E94" s="4">
        <v>3.8679999999999999E-2</v>
      </c>
      <c r="M94">
        <f t="shared" si="1"/>
        <v>12.77411</v>
      </c>
    </row>
    <row r="95" spans="1:13" x14ac:dyDescent="0.3">
      <c r="A95" s="15"/>
      <c r="B95" s="1" t="s">
        <v>11</v>
      </c>
      <c r="C95" s="1">
        <v>911.21</v>
      </c>
      <c r="D95" s="30">
        <v>2.3176700000000001</v>
      </c>
      <c r="E95" s="4">
        <v>1.499E-2</v>
      </c>
      <c r="M95">
        <f t="shared" si="1"/>
        <v>2.3176700000000001</v>
      </c>
    </row>
    <row r="96" spans="1:13" x14ac:dyDescent="0.3">
      <c r="A96" s="15"/>
      <c r="B96" s="1"/>
      <c r="C96" s="1">
        <v>968.97</v>
      </c>
      <c r="D96" s="30">
        <v>1.3556600000000001</v>
      </c>
      <c r="E96" s="4">
        <v>1.43E-2</v>
      </c>
      <c r="M96">
        <f t="shared" si="1"/>
        <v>1.3556600000000001</v>
      </c>
    </row>
    <row r="97" spans="1:13" x14ac:dyDescent="0.3">
      <c r="A97" s="15"/>
      <c r="B97" s="1"/>
      <c r="C97" s="1">
        <v>338.32</v>
      </c>
      <c r="D97" s="30">
        <v>2.3738800000000002</v>
      </c>
      <c r="E97" s="4">
        <v>3.7819999999999999E-2</v>
      </c>
      <c r="M97">
        <f t="shared" si="1"/>
        <v>2.3738800000000002</v>
      </c>
    </row>
    <row r="98" spans="1:13" x14ac:dyDescent="0.3">
      <c r="A98" s="15"/>
      <c r="B98" s="1" t="s">
        <v>12</v>
      </c>
      <c r="C98" s="1">
        <v>2614.5300000000002</v>
      </c>
      <c r="D98" s="30">
        <v>1.1590400000000001</v>
      </c>
      <c r="E98" s="5">
        <v>4.0718000000000004E-3</v>
      </c>
      <c r="M98">
        <f t="shared" si="1"/>
        <v>1.1590400000000001</v>
      </c>
    </row>
    <row r="99" spans="1:13" x14ac:dyDescent="0.3">
      <c r="A99" s="15"/>
      <c r="B99" s="1"/>
      <c r="C99" s="1">
        <v>583.19000000000005</v>
      </c>
      <c r="D99" s="30">
        <v>3.5626099999999998</v>
      </c>
      <c r="E99" s="4">
        <v>1.883E-2</v>
      </c>
      <c r="M99">
        <f t="shared" si="1"/>
        <v>3.5626099999999998</v>
      </c>
    </row>
    <row r="100" spans="1:13" x14ac:dyDescent="0.3">
      <c r="A100" s="15"/>
      <c r="B100" s="1"/>
      <c r="C100" s="1">
        <v>510.77</v>
      </c>
      <c r="D100" s="30">
        <v>1.11033</v>
      </c>
      <c r="E100" s="4">
        <v>1.9109999999999999E-2</v>
      </c>
      <c r="M100">
        <f t="shared" si="1"/>
        <v>1.11033</v>
      </c>
    </row>
    <row r="101" spans="1:13" x14ac:dyDescent="0.3">
      <c r="A101" s="15"/>
      <c r="B101" s="1"/>
      <c r="C101" s="1">
        <v>860.56</v>
      </c>
      <c r="D101" s="30">
        <v>0.40194000000000002</v>
      </c>
      <c r="E101" s="5">
        <v>9.62966E-3</v>
      </c>
      <c r="M101">
        <f t="shared" si="1"/>
        <v>0.40194000000000002</v>
      </c>
    </row>
    <row r="102" spans="1:13" x14ac:dyDescent="0.3">
      <c r="A102" s="21">
        <v>9</v>
      </c>
      <c r="B102" s="1" t="s">
        <v>7</v>
      </c>
      <c r="C102" s="1">
        <v>351.93</v>
      </c>
      <c r="D102" s="30">
        <v>0.46023999999999998</v>
      </c>
      <c r="E102" s="5">
        <v>8.7104299999999999E-3</v>
      </c>
      <c r="M102">
        <f t="shared" si="1"/>
        <v>0.46023999999999998</v>
      </c>
    </row>
    <row r="103" spans="1:13" x14ac:dyDescent="0.3">
      <c r="A103" s="15"/>
      <c r="B103" s="1"/>
      <c r="C103" s="1">
        <v>295.22000000000003</v>
      </c>
      <c r="D103" s="29">
        <v>0.27101999999999998</v>
      </c>
      <c r="E103" s="4">
        <v>1.2409999999999999E-2</v>
      </c>
      <c r="M103">
        <f t="shared" si="1"/>
        <v>0.27101999999999998</v>
      </c>
    </row>
    <row r="104" spans="1:13" x14ac:dyDescent="0.3">
      <c r="A104" s="15"/>
      <c r="B104" s="1" t="s">
        <v>8</v>
      </c>
      <c r="C104" s="1">
        <v>609.32000000000005</v>
      </c>
      <c r="D104" s="30">
        <v>0.31827</v>
      </c>
      <c r="E104" s="5">
        <v>6.28555E-3</v>
      </c>
      <c r="M104">
        <f t="shared" si="1"/>
        <v>0.31827</v>
      </c>
    </row>
    <row r="105" spans="1:13" x14ac:dyDescent="0.3">
      <c r="A105" s="15"/>
      <c r="B105" s="1"/>
      <c r="C105" s="1">
        <v>1764.49</v>
      </c>
      <c r="D105" s="30">
        <v>5.2949999999999997E-2</v>
      </c>
      <c r="E105" s="5">
        <v>1.9983399999999999E-3</v>
      </c>
      <c r="M105">
        <f t="shared" si="1"/>
        <v>5.2949999999999997E-2</v>
      </c>
    </row>
    <row r="106" spans="1:13" x14ac:dyDescent="0.3">
      <c r="A106" s="15"/>
      <c r="B106" s="1"/>
      <c r="C106" s="1">
        <v>1120.29</v>
      </c>
      <c r="D106" s="29">
        <v>6.7070000000000005E-2</v>
      </c>
      <c r="E106" s="5">
        <v>3.3342599999999999E-3</v>
      </c>
      <c r="M106">
        <f t="shared" si="1"/>
        <v>6.7070000000000005E-2</v>
      </c>
    </row>
    <row r="107" spans="1:13" x14ac:dyDescent="0.3">
      <c r="A107" s="15"/>
      <c r="B107" s="1" t="s">
        <v>9</v>
      </c>
      <c r="C107" s="1">
        <v>1460.82</v>
      </c>
      <c r="D107" s="30">
        <v>1.6650000000000002E-2</v>
      </c>
      <c r="E107" s="5">
        <v>3.06084E-3</v>
      </c>
      <c r="M107">
        <f t="shared" si="1"/>
        <v>1.6650000000000002E-2</v>
      </c>
    </row>
    <row r="108" spans="1:13" x14ac:dyDescent="0.3">
      <c r="A108" s="15"/>
      <c r="B108" s="1" t="s">
        <v>10</v>
      </c>
      <c r="C108" s="1">
        <v>238.63</v>
      </c>
      <c r="D108" s="33">
        <v>1.2869999999999999</v>
      </c>
      <c r="E108" s="4">
        <v>1.2919999999999999E-2</v>
      </c>
      <c r="M108">
        <f t="shared" si="1"/>
        <v>1.2869999999999999</v>
      </c>
    </row>
    <row r="109" spans="1:13" x14ac:dyDescent="0.3">
      <c r="A109" s="15"/>
      <c r="B109" s="1" t="s">
        <v>11</v>
      </c>
      <c r="C109" s="1">
        <v>911.21</v>
      </c>
      <c r="D109" s="29">
        <v>0.24482999999999999</v>
      </c>
      <c r="E109" s="6">
        <v>5.3245799999999998E-3</v>
      </c>
      <c r="M109">
        <f t="shared" si="1"/>
        <v>0.24482999999999999</v>
      </c>
    </row>
    <row r="110" spans="1:13" x14ac:dyDescent="0.3">
      <c r="A110" s="15"/>
      <c r="B110" s="1"/>
      <c r="C110" s="1">
        <v>968.97</v>
      </c>
      <c r="D110" s="30">
        <v>0.14013999999999999</v>
      </c>
      <c r="E110" s="5">
        <v>4.5050899999999998E-3</v>
      </c>
      <c r="M110">
        <f t="shared" si="1"/>
        <v>0.14013999999999999</v>
      </c>
    </row>
    <row r="111" spans="1:13" x14ac:dyDescent="0.3">
      <c r="A111" s="15"/>
      <c r="B111" s="1"/>
      <c r="C111" s="1">
        <v>338.32</v>
      </c>
      <c r="D111" s="30">
        <v>0.23507</v>
      </c>
      <c r="E111" s="5">
        <v>8.5097999999999997E-3</v>
      </c>
      <c r="M111">
        <f t="shared" si="1"/>
        <v>0.23507</v>
      </c>
    </row>
    <row r="112" spans="1:13" x14ac:dyDescent="0.3">
      <c r="A112" s="15"/>
      <c r="B112" s="1" t="s">
        <v>12</v>
      </c>
      <c r="C112" s="1">
        <v>2614.5300000000002</v>
      </c>
      <c r="D112" s="30">
        <v>0.12156</v>
      </c>
      <c r="E112" s="5">
        <v>1.47153E-3</v>
      </c>
      <c r="M112">
        <f t="shared" si="1"/>
        <v>0.12156</v>
      </c>
    </row>
    <row r="113" spans="1:13" x14ac:dyDescent="0.3">
      <c r="A113" s="15"/>
      <c r="B113" s="1"/>
      <c r="C113" s="1">
        <v>583.19000000000005</v>
      </c>
      <c r="D113" s="30">
        <v>0.36101</v>
      </c>
      <c r="E113" s="5">
        <v>6.7508500000000001E-3</v>
      </c>
      <c r="M113">
        <f t="shared" si="1"/>
        <v>0.36101</v>
      </c>
    </row>
    <row r="114" spans="1:13" x14ac:dyDescent="0.3">
      <c r="A114" s="15"/>
      <c r="B114" s="1"/>
      <c r="C114" s="1">
        <v>510.77</v>
      </c>
      <c r="D114" s="30">
        <v>0.12953000000000001</v>
      </c>
      <c r="E114" s="5">
        <v>6.7456199999999999E-3</v>
      </c>
      <c r="M114">
        <f t="shared" si="1"/>
        <v>0.12953000000000001</v>
      </c>
    </row>
    <row r="115" spans="1:13" x14ac:dyDescent="0.3">
      <c r="A115" s="15"/>
      <c r="B115" s="1"/>
      <c r="C115" s="1">
        <v>860.56</v>
      </c>
      <c r="D115" s="30">
        <v>4.2270000000000002E-2</v>
      </c>
      <c r="E115" s="5">
        <v>3.8430999999999999E-3</v>
      </c>
      <c r="M115">
        <f t="shared" si="1"/>
        <v>4.2270000000000002E-2</v>
      </c>
    </row>
    <row r="116" spans="1:13" x14ac:dyDescent="0.3">
      <c r="A116" s="15">
        <v>10</v>
      </c>
      <c r="B116" s="1" t="s">
        <v>7</v>
      </c>
      <c r="C116" s="1">
        <v>351.93</v>
      </c>
      <c r="D116" s="30">
        <v>0.14113999999999999</v>
      </c>
      <c r="E116" s="5">
        <v>5.3316500000000003E-3</v>
      </c>
      <c r="M116">
        <f t="shared" si="1"/>
        <v>0.14113999999999999</v>
      </c>
    </row>
    <row r="117" spans="1:13" x14ac:dyDescent="0.3">
      <c r="A117" s="15"/>
      <c r="B117" s="1"/>
      <c r="C117" s="1">
        <v>295.22000000000003</v>
      </c>
      <c r="D117" s="30">
        <v>8.3470000000000003E-2</v>
      </c>
      <c r="E117" s="5">
        <v>6.9146900000000002E-3</v>
      </c>
      <c r="M117">
        <f t="shared" si="1"/>
        <v>8.3470000000000003E-2</v>
      </c>
    </row>
    <row r="118" spans="1:13" x14ac:dyDescent="0.3">
      <c r="A118" s="15"/>
      <c r="B118" s="1" t="s">
        <v>8</v>
      </c>
      <c r="C118" s="1">
        <v>609.32000000000005</v>
      </c>
      <c r="D118" s="30">
        <v>9.8519999999999996E-2</v>
      </c>
      <c r="E118" s="5">
        <v>4.2305600000000004E-3</v>
      </c>
      <c r="M118">
        <f t="shared" si="1"/>
        <v>9.8519999999999996E-2</v>
      </c>
    </row>
    <row r="119" spans="1:13" x14ac:dyDescent="0.3">
      <c r="A119" s="15"/>
      <c r="B119" s="1"/>
      <c r="C119" s="1">
        <v>1764.49</v>
      </c>
      <c r="D119" s="30">
        <v>1.5939999999999999E-2</v>
      </c>
      <c r="E119" s="5">
        <v>1.5204800000000001E-3</v>
      </c>
      <c r="M119">
        <f t="shared" si="1"/>
        <v>1.5939999999999999E-2</v>
      </c>
    </row>
    <row r="120" spans="1:13" x14ac:dyDescent="0.3">
      <c r="A120" s="15"/>
      <c r="B120" s="1"/>
      <c r="C120" s="1">
        <v>1120.29</v>
      </c>
      <c r="D120" s="30">
        <v>1.9060000000000001E-2</v>
      </c>
      <c r="E120" s="5">
        <v>2.4420000000000002E-3</v>
      </c>
      <c r="M120">
        <f t="shared" si="1"/>
        <v>1.9060000000000001E-2</v>
      </c>
    </row>
    <row r="121" spans="1:13" x14ac:dyDescent="0.3">
      <c r="A121" s="15"/>
      <c r="B121" s="1" t="s">
        <v>9</v>
      </c>
      <c r="C121" s="1">
        <v>1460.82</v>
      </c>
      <c r="D121" s="30">
        <v>1.009E-2</v>
      </c>
      <c r="E121" s="5">
        <v>1.90682E-3</v>
      </c>
      <c r="M121">
        <f t="shared" si="1"/>
        <v>1.009E-2</v>
      </c>
    </row>
    <row r="122" spans="1:13" x14ac:dyDescent="0.3">
      <c r="A122" s="15"/>
      <c r="B122" s="1" t="s">
        <v>10</v>
      </c>
      <c r="C122" s="1">
        <v>238.63</v>
      </c>
      <c r="D122" s="30">
        <v>0.37373000000000001</v>
      </c>
      <c r="E122" s="5">
        <v>7.8532099999999994E-3</v>
      </c>
      <c r="M122">
        <f t="shared" si="1"/>
        <v>0.37373000000000001</v>
      </c>
    </row>
    <row r="123" spans="1:13" x14ac:dyDescent="0.3">
      <c r="A123" s="15"/>
      <c r="B123" s="1" t="s">
        <v>11</v>
      </c>
      <c r="C123" s="1">
        <v>911.21</v>
      </c>
      <c r="D123" s="30">
        <v>6.7080000000000001E-2</v>
      </c>
      <c r="E123" s="5">
        <v>2.8177100000000002E-3</v>
      </c>
      <c r="M123">
        <f t="shared" si="1"/>
        <v>6.7080000000000001E-2</v>
      </c>
    </row>
    <row r="124" spans="1:13" x14ac:dyDescent="0.3">
      <c r="A124" s="15"/>
      <c r="B124" s="1"/>
      <c r="C124" s="1">
        <v>968.97</v>
      </c>
      <c r="D124" s="30">
        <v>3.934E-2</v>
      </c>
      <c r="E124" s="5">
        <v>3.1451600000000001E-3</v>
      </c>
      <c r="M124">
        <f t="shared" si="1"/>
        <v>3.934E-2</v>
      </c>
    </row>
    <row r="125" spans="1:13" x14ac:dyDescent="0.3">
      <c r="A125" s="15"/>
      <c r="B125" s="1"/>
      <c r="C125" s="1">
        <v>338.32</v>
      </c>
      <c r="D125" s="30">
        <v>7.1940000000000004E-2</v>
      </c>
      <c r="E125" s="5">
        <v>5.9552800000000003E-3</v>
      </c>
      <c r="M125">
        <f t="shared" si="1"/>
        <v>7.1940000000000004E-2</v>
      </c>
    </row>
    <row r="126" spans="1:13" x14ac:dyDescent="0.3">
      <c r="A126" s="15"/>
      <c r="B126" s="1" t="s">
        <v>12</v>
      </c>
      <c r="C126" s="1">
        <v>2614.5300000000002</v>
      </c>
      <c r="D126" s="30">
        <v>3.875E-2</v>
      </c>
      <c r="E126" s="5">
        <v>8.1094100000000003E-4</v>
      </c>
      <c r="M126">
        <f t="shared" si="1"/>
        <v>3.875E-2</v>
      </c>
    </row>
    <row r="127" spans="1:13" x14ac:dyDescent="0.3">
      <c r="A127" s="15"/>
      <c r="B127" s="1"/>
      <c r="C127" s="1">
        <v>583.19000000000005</v>
      </c>
      <c r="D127" s="30">
        <v>0.10879</v>
      </c>
      <c r="E127" s="5">
        <v>3.7765099999999998E-3</v>
      </c>
      <c r="M127">
        <f t="shared" si="1"/>
        <v>0.10879</v>
      </c>
    </row>
    <row r="128" spans="1:13" x14ac:dyDescent="0.3">
      <c r="A128" s="15"/>
      <c r="B128" s="1"/>
      <c r="C128" s="1">
        <v>510.77</v>
      </c>
      <c r="D128" s="30">
        <v>4.8669999999999998E-2</v>
      </c>
      <c r="E128" s="5">
        <v>4.1504300000000001E-3</v>
      </c>
      <c r="M128">
        <f t="shared" si="1"/>
        <v>4.8669999999999998E-2</v>
      </c>
    </row>
    <row r="129" spans="1:13" x14ac:dyDescent="0.3">
      <c r="A129" s="15"/>
      <c r="B129" s="1"/>
      <c r="C129" s="1">
        <v>860.56</v>
      </c>
      <c r="D129" s="30">
        <v>1.1639999999999999E-2</v>
      </c>
      <c r="E129" s="5">
        <v>2.71375E-3</v>
      </c>
      <c r="M129">
        <f t="shared" si="1"/>
        <v>1.1639999999999999E-2</v>
      </c>
    </row>
    <row r="130" spans="1:13" x14ac:dyDescent="0.3">
      <c r="A130" s="15">
        <v>12</v>
      </c>
      <c r="B130" s="1" t="s">
        <v>7</v>
      </c>
      <c r="C130" s="1">
        <v>351.93</v>
      </c>
      <c r="D130" s="30">
        <v>9.1910000000000006E-2</v>
      </c>
      <c r="E130" s="5">
        <v>4.4632200000000004E-3</v>
      </c>
      <c r="M130">
        <f t="shared" si="1"/>
        <v>9.1910000000000006E-2</v>
      </c>
    </row>
    <row r="131" spans="1:13" x14ac:dyDescent="0.3">
      <c r="A131" s="15"/>
      <c r="B131" s="1"/>
      <c r="C131" s="1">
        <v>295.22000000000003</v>
      </c>
      <c r="D131" s="30">
        <v>5.3449999999999998E-2</v>
      </c>
      <c r="E131" s="5">
        <v>6.1969800000000004E-3</v>
      </c>
      <c r="M131">
        <f t="shared" si="1"/>
        <v>5.3449999999999998E-2</v>
      </c>
    </row>
    <row r="132" spans="1:13" x14ac:dyDescent="0.3">
      <c r="A132" s="15"/>
      <c r="B132" s="1" t="s">
        <v>8</v>
      </c>
      <c r="C132" s="1">
        <v>609.32000000000005</v>
      </c>
      <c r="D132" s="30">
        <v>6.59E-2</v>
      </c>
      <c r="E132" s="5">
        <v>3.5133299999999998E-3</v>
      </c>
      <c r="M132">
        <f t="shared" si="1"/>
        <v>6.59E-2</v>
      </c>
    </row>
    <row r="133" spans="1:13" x14ac:dyDescent="0.3">
      <c r="A133" s="15"/>
      <c r="B133" s="1"/>
      <c r="C133" s="1">
        <v>1764.49</v>
      </c>
      <c r="D133" s="30">
        <v>1.052E-2</v>
      </c>
      <c r="E133" s="5">
        <v>1.4107900000000001E-3</v>
      </c>
      <c r="M133">
        <f t="shared" ref="M133:M196" si="2">MAX(D133:E133)</f>
        <v>1.052E-2</v>
      </c>
    </row>
    <row r="134" spans="1:13" x14ac:dyDescent="0.3">
      <c r="A134" s="15"/>
      <c r="B134" s="1"/>
      <c r="C134" s="1">
        <v>1120.29</v>
      </c>
      <c r="D134" s="30">
        <v>1.345E-2</v>
      </c>
      <c r="E134" s="5">
        <v>1.9647599999999999E-3</v>
      </c>
      <c r="M134">
        <f t="shared" si="2"/>
        <v>1.345E-2</v>
      </c>
    </row>
    <row r="135" spans="1:13" x14ac:dyDescent="0.3">
      <c r="A135" s="15"/>
      <c r="B135" s="1" t="s">
        <v>9</v>
      </c>
      <c r="C135" s="1">
        <v>1460.82</v>
      </c>
      <c r="D135" s="30">
        <v>1.2840000000000001E-2</v>
      </c>
      <c r="E135" s="5">
        <v>1.6780199999999999E-3</v>
      </c>
      <c r="M135">
        <f t="shared" si="2"/>
        <v>1.2840000000000001E-2</v>
      </c>
    </row>
    <row r="136" spans="1:13" x14ac:dyDescent="0.3">
      <c r="A136" s="15"/>
      <c r="B136" s="1" t="s">
        <v>10</v>
      </c>
      <c r="C136" s="1">
        <v>238.63</v>
      </c>
      <c r="D136" s="30">
        <v>0.23974999999999999</v>
      </c>
      <c r="E136" s="5">
        <v>6.3678800000000002E-3</v>
      </c>
      <c r="M136">
        <f t="shared" si="2"/>
        <v>0.23974999999999999</v>
      </c>
    </row>
    <row r="137" spans="1:13" x14ac:dyDescent="0.3">
      <c r="A137" s="15"/>
      <c r="B137" s="1" t="s">
        <v>11</v>
      </c>
      <c r="C137" s="1">
        <v>911.21</v>
      </c>
      <c r="D137" s="30">
        <v>4.8189999999999997E-2</v>
      </c>
      <c r="E137" s="5">
        <v>2.3106300000000001E-3</v>
      </c>
      <c r="M137">
        <f t="shared" si="2"/>
        <v>4.8189999999999997E-2</v>
      </c>
    </row>
    <row r="138" spans="1:13" x14ac:dyDescent="0.3">
      <c r="A138" s="15"/>
      <c r="B138" s="1"/>
      <c r="C138" s="1">
        <v>968.97</v>
      </c>
      <c r="D138" s="30">
        <v>1.9449999999999999E-2</v>
      </c>
      <c r="E138" s="5">
        <v>3.36587E-3</v>
      </c>
      <c r="M138">
        <f t="shared" si="2"/>
        <v>1.9449999999999999E-2</v>
      </c>
    </row>
    <row r="139" spans="1:13" x14ac:dyDescent="0.3">
      <c r="A139" s="15"/>
      <c r="B139" s="1"/>
      <c r="C139" s="1">
        <v>338.32</v>
      </c>
      <c r="D139" s="30">
        <v>4.4159999999999998E-2</v>
      </c>
      <c r="E139" s="5">
        <v>4.6167500000000002E-3</v>
      </c>
      <c r="M139">
        <f t="shared" si="2"/>
        <v>4.4159999999999998E-2</v>
      </c>
    </row>
    <row r="140" spans="1:13" x14ac:dyDescent="0.3">
      <c r="A140" s="15"/>
      <c r="B140" s="1" t="s">
        <v>12</v>
      </c>
      <c r="C140" s="1">
        <v>2614.5300000000002</v>
      </c>
      <c r="D140" s="30">
        <v>2.5909999999999999E-2</v>
      </c>
      <c r="E140" s="5">
        <v>8.3922399999999996E-4</v>
      </c>
      <c r="M140">
        <f t="shared" si="2"/>
        <v>2.5909999999999999E-2</v>
      </c>
    </row>
    <row r="141" spans="1:13" x14ac:dyDescent="0.3">
      <c r="A141" s="15"/>
      <c r="B141" s="1"/>
      <c r="C141" s="1">
        <v>583.19000000000005</v>
      </c>
      <c r="D141" s="30">
        <v>6.8940000000000001E-2</v>
      </c>
      <c r="E141" s="5">
        <v>3.3079199999999998E-3</v>
      </c>
      <c r="M141">
        <f t="shared" si="2"/>
        <v>6.8940000000000001E-2</v>
      </c>
    </row>
    <row r="142" spans="1:13" x14ac:dyDescent="0.3">
      <c r="A142" s="15"/>
      <c r="B142" s="1"/>
      <c r="C142" s="1">
        <v>510.77</v>
      </c>
      <c r="D142" s="30">
        <v>3.7909999999999999E-2</v>
      </c>
      <c r="E142" s="5">
        <v>3.6034399999999999E-3</v>
      </c>
      <c r="M142">
        <f t="shared" si="2"/>
        <v>3.7909999999999999E-2</v>
      </c>
    </row>
    <row r="143" spans="1:13" x14ac:dyDescent="0.3">
      <c r="A143" s="15"/>
      <c r="B143" s="1"/>
      <c r="C143" s="1">
        <v>860.56</v>
      </c>
      <c r="D143" s="31">
        <v>7.19762695E-3</v>
      </c>
      <c r="E143" s="5">
        <v>2.3603500000000002E-3</v>
      </c>
      <c r="M143">
        <f t="shared" si="2"/>
        <v>7.19762695E-3</v>
      </c>
    </row>
    <row r="144" spans="1:13" x14ac:dyDescent="0.3">
      <c r="A144" s="15">
        <v>13</v>
      </c>
      <c r="B144" s="1" t="s">
        <v>7</v>
      </c>
      <c r="C144" s="1">
        <v>351.93</v>
      </c>
      <c r="D144" s="30">
        <v>0.21238000000000001</v>
      </c>
      <c r="E144" s="5">
        <v>5.7945200000000001E-3</v>
      </c>
      <c r="M144">
        <f t="shared" si="2"/>
        <v>0.21238000000000001</v>
      </c>
    </row>
    <row r="145" spans="1:13" x14ac:dyDescent="0.3">
      <c r="A145" s="15"/>
      <c r="B145" s="1"/>
      <c r="C145" s="1">
        <v>295.22000000000003</v>
      </c>
      <c r="D145" s="30">
        <v>0.12179</v>
      </c>
      <c r="E145" s="5">
        <v>8.1173700000000005E-3</v>
      </c>
      <c r="M145">
        <f t="shared" si="2"/>
        <v>0.12179</v>
      </c>
    </row>
    <row r="146" spans="1:13" x14ac:dyDescent="0.3">
      <c r="A146" s="15"/>
      <c r="B146" s="1" t="s">
        <v>8</v>
      </c>
      <c r="C146" s="1">
        <v>609.32000000000005</v>
      </c>
      <c r="D146" s="30">
        <v>0.14463000000000001</v>
      </c>
      <c r="E146" s="5">
        <v>3.9673800000000004E-3</v>
      </c>
      <c r="M146">
        <f t="shared" si="2"/>
        <v>0.14463000000000001</v>
      </c>
    </row>
    <row r="147" spans="1:13" x14ac:dyDescent="0.3">
      <c r="A147" s="15"/>
      <c r="B147" s="1"/>
      <c r="C147" s="1">
        <v>1764.49</v>
      </c>
      <c r="D147" s="30">
        <v>2.0060000000000001E-2</v>
      </c>
      <c r="E147" s="5">
        <v>1.9819199999999999E-3</v>
      </c>
      <c r="M147">
        <f t="shared" si="2"/>
        <v>2.0060000000000001E-2</v>
      </c>
    </row>
    <row r="148" spans="1:13" x14ac:dyDescent="0.3">
      <c r="A148" s="15"/>
      <c r="B148" s="1"/>
      <c r="C148" s="1">
        <v>1120.29</v>
      </c>
      <c r="D148" s="30">
        <v>2.9700000000000001E-2</v>
      </c>
      <c r="E148" s="5">
        <v>2.6790099999999999E-3</v>
      </c>
      <c r="M148">
        <f t="shared" si="2"/>
        <v>2.9700000000000001E-2</v>
      </c>
    </row>
    <row r="149" spans="1:13" x14ac:dyDescent="0.3">
      <c r="A149" s="15"/>
      <c r="B149" s="1" t="s">
        <v>9</v>
      </c>
      <c r="C149" s="1">
        <v>1460.82</v>
      </c>
      <c r="D149" s="30">
        <v>1.3939999999999999E-2</v>
      </c>
      <c r="E149" s="5">
        <v>2.00242E-3</v>
      </c>
      <c r="M149">
        <f t="shared" si="2"/>
        <v>1.3939999999999999E-2</v>
      </c>
    </row>
    <row r="150" spans="1:13" x14ac:dyDescent="0.3">
      <c r="A150" s="15"/>
      <c r="B150" s="1" t="s">
        <v>10</v>
      </c>
      <c r="C150" s="1">
        <v>238.63</v>
      </c>
      <c r="D150" s="30">
        <v>0.47843000000000002</v>
      </c>
      <c r="E150" s="5">
        <v>9.7129E-3</v>
      </c>
      <c r="M150">
        <f t="shared" si="2"/>
        <v>0.47843000000000002</v>
      </c>
    </row>
    <row r="151" spans="1:13" x14ac:dyDescent="0.3">
      <c r="A151" s="15"/>
      <c r="B151" s="1" t="s">
        <v>11</v>
      </c>
      <c r="C151" s="1">
        <v>911.21</v>
      </c>
      <c r="D151" s="30">
        <v>8.337E-2</v>
      </c>
      <c r="E151" s="5">
        <v>3.15431E-3</v>
      </c>
      <c r="M151">
        <f t="shared" si="2"/>
        <v>8.337E-2</v>
      </c>
    </row>
    <row r="152" spans="1:13" x14ac:dyDescent="0.3">
      <c r="A152" s="15"/>
      <c r="B152" s="1"/>
      <c r="C152" s="1">
        <v>968.97</v>
      </c>
      <c r="D152" s="30">
        <v>5.178E-2</v>
      </c>
      <c r="E152" s="5">
        <v>3.6452899999999998E-3</v>
      </c>
      <c r="M152">
        <f t="shared" si="2"/>
        <v>5.178E-2</v>
      </c>
    </row>
    <row r="153" spans="1:13" x14ac:dyDescent="0.3">
      <c r="A153" s="15"/>
      <c r="B153" s="1"/>
      <c r="C153" s="1">
        <v>338.32</v>
      </c>
      <c r="D153" s="30">
        <v>8.7249999999999994E-2</v>
      </c>
      <c r="E153" s="5">
        <v>6.0510199999999998E-3</v>
      </c>
      <c r="M153">
        <f t="shared" si="2"/>
        <v>8.7249999999999994E-2</v>
      </c>
    </row>
    <row r="154" spans="1:13" x14ac:dyDescent="0.3">
      <c r="A154" s="15"/>
      <c r="B154" s="1" t="s">
        <v>12</v>
      </c>
      <c r="C154" s="1">
        <v>2614.5300000000002</v>
      </c>
      <c r="D154" s="30">
        <v>4.8430000000000001E-2</v>
      </c>
      <c r="E154" s="5">
        <v>1.06375E-3</v>
      </c>
      <c r="M154">
        <f t="shared" si="2"/>
        <v>4.8430000000000001E-2</v>
      </c>
    </row>
    <row r="155" spans="1:13" x14ac:dyDescent="0.3">
      <c r="A155" s="15"/>
      <c r="B155" s="1"/>
      <c r="C155" s="1">
        <v>583.19000000000005</v>
      </c>
      <c r="D155" s="30">
        <v>0.13305</v>
      </c>
      <c r="E155" s="5">
        <v>4.1927400000000004E-3</v>
      </c>
      <c r="M155">
        <f t="shared" si="2"/>
        <v>0.13305</v>
      </c>
    </row>
    <row r="156" spans="1:13" x14ac:dyDescent="0.3">
      <c r="A156" s="15"/>
      <c r="B156" s="1"/>
      <c r="C156" s="1">
        <v>510.77</v>
      </c>
      <c r="D156" s="30">
        <v>6.2619999999999995E-2</v>
      </c>
      <c r="E156" s="5">
        <v>4.6746299999999999E-3</v>
      </c>
      <c r="M156">
        <f t="shared" si="2"/>
        <v>6.2619999999999995E-2</v>
      </c>
    </row>
    <row r="157" spans="1:13" x14ac:dyDescent="0.3">
      <c r="A157" s="15"/>
      <c r="B157" s="1"/>
      <c r="C157" s="1">
        <v>860.56</v>
      </c>
      <c r="D157" s="30">
        <v>1.439E-2</v>
      </c>
      <c r="E157" s="5">
        <v>3.0457399999999999E-3</v>
      </c>
      <c r="M157">
        <f t="shared" si="2"/>
        <v>1.439E-2</v>
      </c>
    </row>
    <row r="158" spans="1:13" x14ac:dyDescent="0.3">
      <c r="A158" s="15">
        <v>14</v>
      </c>
      <c r="B158" s="1" t="s">
        <v>7</v>
      </c>
      <c r="C158" s="1">
        <v>351.93</v>
      </c>
      <c r="D158" s="30">
        <v>0.14998</v>
      </c>
      <c r="E158" s="5">
        <v>4.9530499999999996E-3</v>
      </c>
      <c r="M158">
        <f t="shared" si="2"/>
        <v>0.14998</v>
      </c>
    </row>
    <row r="159" spans="1:13" x14ac:dyDescent="0.3">
      <c r="A159" s="15"/>
      <c r="B159" s="1"/>
      <c r="C159" s="1">
        <v>295.22000000000003</v>
      </c>
      <c r="D159" s="30">
        <v>8.7660000000000002E-2</v>
      </c>
      <c r="E159" s="5">
        <v>7.2191399999999998E-3</v>
      </c>
      <c r="M159">
        <f t="shared" si="2"/>
        <v>8.7660000000000002E-2</v>
      </c>
    </row>
    <row r="160" spans="1:13" x14ac:dyDescent="0.3">
      <c r="A160" s="15"/>
      <c r="B160" s="1" t="s">
        <v>8</v>
      </c>
      <c r="C160" s="1">
        <v>609.32000000000005</v>
      </c>
      <c r="D160" s="30">
        <v>0.10538</v>
      </c>
      <c r="E160" s="5">
        <v>3.6541E-3</v>
      </c>
      <c r="M160">
        <f t="shared" si="2"/>
        <v>0.10538</v>
      </c>
    </row>
    <row r="161" spans="1:13" x14ac:dyDescent="0.3">
      <c r="A161" s="15"/>
      <c r="B161" s="1"/>
      <c r="C161" s="1">
        <v>1764.49</v>
      </c>
      <c r="D161" s="30">
        <v>1.6660000000000001E-2</v>
      </c>
      <c r="E161" s="5">
        <v>1.6850000000000001E-3</v>
      </c>
      <c r="M161">
        <f t="shared" si="2"/>
        <v>1.6660000000000001E-2</v>
      </c>
    </row>
    <row r="162" spans="1:13" x14ac:dyDescent="0.3">
      <c r="A162" s="15"/>
      <c r="B162" s="1"/>
      <c r="C162" s="1">
        <v>1120.29</v>
      </c>
      <c r="D162" s="30">
        <v>2.0570000000000001E-2</v>
      </c>
      <c r="E162" s="5">
        <v>2.3336300000000002E-3</v>
      </c>
      <c r="M162">
        <f t="shared" si="2"/>
        <v>2.0570000000000001E-2</v>
      </c>
    </row>
    <row r="163" spans="1:13" x14ac:dyDescent="0.3">
      <c r="A163" s="15"/>
      <c r="B163" s="1" t="s">
        <v>9</v>
      </c>
      <c r="C163" s="1">
        <v>1460.82</v>
      </c>
      <c r="D163" s="31">
        <v>8.6172507000000006E-3</v>
      </c>
      <c r="E163" s="5">
        <v>1.8514200000000001E-3</v>
      </c>
      <c r="M163">
        <f t="shared" si="2"/>
        <v>8.6172507000000006E-3</v>
      </c>
    </row>
    <row r="164" spans="1:13" x14ac:dyDescent="0.3">
      <c r="A164" s="15"/>
      <c r="B164" s="1" t="s">
        <v>10</v>
      </c>
      <c r="C164" s="1">
        <v>238.63</v>
      </c>
      <c r="D164" s="30">
        <v>0.33084999999999998</v>
      </c>
      <c r="E164" s="5">
        <v>8.4440999999999995E-3</v>
      </c>
      <c r="M164">
        <f t="shared" si="2"/>
        <v>0.33084999999999998</v>
      </c>
    </row>
    <row r="165" spans="1:13" x14ac:dyDescent="0.3">
      <c r="A165" s="15"/>
      <c r="B165" s="1" t="s">
        <v>11</v>
      </c>
      <c r="C165" s="1">
        <v>911.21</v>
      </c>
      <c r="D165" s="30">
        <v>6.3729999999999995E-2</v>
      </c>
      <c r="E165" s="5">
        <v>2.7714599999999999E-3</v>
      </c>
      <c r="M165">
        <f t="shared" si="2"/>
        <v>6.3729999999999995E-2</v>
      </c>
    </row>
    <row r="166" spans="1:13" x14ac:dyDescent="0.3">
      <c r="A166" s="15"/>
      <c r="B166" s="1"/>
      <c r="C166" s="1">
        <v>968.97</v>
      </c>
      <c r="D166" s="30">
        <v>3.4470000000000001E-2</v>
      </c>
      <c r="E166" s="6">
        <v>3.0225500000000001E-3</v>
      </c>
      <c r="M166">
        <f t="shared" si="2"/>
        <v>3.4470000000000001E-2</v>
      </c>
    </row>
    <row r="167" spans="1:13" x14ac:dyDescent="0.3">
      <c r="A167" s="15"/>
      <c r="B167" s="1"/>
      <c r="C167" s="1">
        <v>338.32</v>
      </c>
      <c r="D167" s="30">
        <v>5.9709999999999999E-2</v>
      </c>
      <c r="E167" s="5">
        <v>5.6309400000000001E-3</v>
      </c>
      <c r="M167">
        <f t="shared" si="2"/>
        <v>5.9709999999999999E-2</v>
      </c>
    </row>
    <row r="168" spans="1:13" x14ac:dyDescent="0.3">
      <c r="A168" s="15"/>
      <c r="B168" s="1" t="s">
        <v>12</v>
      </c>
      <c r="C168" s="1">
        <v>2614.5300000000002</v>
      </c>
      <c r="D168" s="30">
        <v>3.6650000000000002E-2</v>
      </c>
      <c r="E168" s="5">
        <v>9.8108200000000009E-4</v>
      </c>
      <c r="M168">
        <f t="shared" si="2"/>
        <v>3.6650000000000002E-2</v>
      </c>
    </row>
    <row r="169" spans="1:13" x14ac:dyDescent="0.3">
      <c r="A169" s="15"/>
      <c r="B169" s="1"/>
      <c r="C169" s="1">
        <v>583.19000000000005</v>
      </c>
      <c r="D169" s="30">
        <v>9.7339999999999996E-2</v>
      </c>
      <c r="E169" s="5">
        <v>3.6104499999999999E-3</v>
      </c>
      <c r="M169">
        <f t="shared" si="2"/>
        <v>9.7339999999999996E-2</v>
      </c>
    </row>
    <row r="170" spans="1:13" x14ac:dyDescent="0.3">
      <c r="A170" s="15"/>
      <c r="B170" s="1"/>
      <c r="C170" s="1">
        <v>510.77</v>
      </c>
      <c r="D170" s="30">
        <v>4.9770000000000002E-2</v>
      </c>
      <c r="E170" s="5">
        <v>4.2841199999999998E-3</v>
      </c>
      <c r="M170">
        <f t="shared" si="2"/>
        <v>4.9770000000000002E-2</v>
      </c>
    </row>
    <row r="171" spans="1:13" x14ac:dyDescent="0.3">
      <c r="A171" s="15"/>
      <c r="B171" s="1"/>
      <c r="C171" s="1">
        <v>860.56</v>
      </c>
      <c r="D171" s="30">
        <v>1.217E-2</v>
      </c>
      <c r="E171" s="5">
        <v>2.8178000000000001E-3</v>
      </c>
      <c r="M171">
        <f t="shared" si="2"/>
        <v>1.217E-2</v>
      </c>
    </row>
    <row r="172" spans="1:13" x14ac:dyDescent="0.3">
      <c r="A172" s="15">
        <v>15</v>
      </c>
      <c r="B172" s="1" t="s">
        <v>7</v>
      </c>
      <c r="C172" s="1">
        <v>351.93</v>
      </c>
      <c r="D172" s="30">
        <v>0.17501</v>
      </c>
      <c r="E172" s="5">
        <v>5.7992399999999998E-3</v>
      </c>
      <c r="M172">
        <f t="shared" si="2"/>
        <v>0.17501</v>
      </c>
    </row>
    <row r="173" spans="1:13" x14ac:dyDescent="0.3">
      <c r="A173" s="15"/>
      <c r="B173" s="1"/>
      <c r="C173" s="1">
        <v>295.22000000000003</v>
      </c>
      <c r="D173" s="30">
        <v>0.10199</v>
      </c>
      <c r="E173" s="5">
        <v>7.8553800000000003E-3</v>
      </c>
      <c r="M173">
        <f t="shared" si="2"/>
        <v>0.10199</v>
      </c>
    </row>
    <row r="174" spans="1:13" x14ac:dyDescent="0.3">
      <c r="A174" s="15"/>
      <c r="B174" s="1" t="s">
        <v>8</v>
      </c>
      <c r="C174" s="1">
        <v>609.32000000000005</v>
      </c>
      <c r="D174" s="30">
        <v>0.12770000000000001</v>
      </c>
      <c r="E174" s="5">
        <v>4.1388199999999997E-3</v>
      </c>
      <c r="M174">
        <f t="shared" si="2"/>
        <v>0.12770000000000001</v>
      </c>
    </row>
    <row r="175" spans="1:13" x14ac:dyDescent="0.3">
      <c r="A175" s="15"/>
      <c r="B175" s="1"/>
      <c r="C175" s="1">
        <v>1764.49</v>
      </c>
      <c r="D175" s="30">
        <v>1.7850000000000001E-2</v>
      </c>
      <c r="E175" s="5">
        <v>1.79294E-3</v>
      </c>
      <c r="M175">
        <f t="shared" si="2"/>
        <v>1.7850000000000001E-2</v>
      </c>
    </row>
    <row r="176" spans="1:13" x14ac:dyDescent="0.3">
      <c r="A176" s="15"/>
      <c r="B176" s="1"/>
      <c r="C176" s="1">
        <v>1120.29</v>
      </c>
      <c r="D176" s="30">
        <v>2.4680000000000001E-2</v>
      </c>
      <c r="E176" s="6">
        <v>2.4056300000000002E-3</v>
      </c>
      <c r="M176">
        <f t="shared" si="2"/>
        <v>2.4680000000000001E-2</v>
      </c>
    </row>
    <row r="177" spans="1:13" x14ac:dyDescent="0.3">
      <c r="A177" s="15"/>
      <c r="B177" s="1" t="s">
        <v>9</v>
      </c>
      <c r="C177" s="1">
        <v>1460.82</v>
      </c>
      <c r="D177" s="31">
        <v>3.1482319700000001E-3</v>
      </c>
      <c r="E177" s="6">
        <v>2.0347799999999999E-3</v>
      </c>
      <c r="M177">
        <f t="shared" si="2"/>
        <v>3.1482319700000001E-3</v>
      </c>
    </row>
    <row r="178" spans="1:13" x14ac:dyDescent="0.3">
      <c r="A178" s="15"/>
      <c r="B178" s="1" t="s">
        <v>10</v>
      </c>
      <c r="C178" s="1">
        <v>238.63</v>
      </c>
      <c r="D178" s="30">
        <v>0.42560999999999999</v>
      </c>
      <c r="E178" s="4">
        <v>1.115E-2</v>
      </c>
      <c r="M178">
        <f t="shared" si="2"/>
        <v>0.42560999999999999</v>
      </c>
    </row>
    <row r="179" spans="1:13" x14ac:dyDescent="0.3">
      <c r="A179" s="15"/>
      <c r="B179" s="1" t="s">
        <v>11</v>
      </c>
      <c r="C179" s="1">
        <v>911.21</v>
      </c>
      <c r="D179" s="30">
        <v>9.2730000000000007E-2</v>
      </c>
      <c r="E179" s="5">
        <v>2.9872399999999999E-3</v>
      </c>
      <c r="M179">
        <f t="shared" si="2"/>
        <v>9.2730000000000007E-2</v>
      </c>
    </row>
    <row r="180" spans="1:13" x14ac:dyDescent="0.3">
      <c r="A180" s="15"/>
      <c r="B180" s="1"/>
      <c r="C180" s="1">
        <v>968.97</v>
      </c>
      <c r="D180" s="30">
        <v>3.5680000000000003E-2</v>
      </c>
      <c r="E180" s="5">
        <v>4.2535200000000002E-3</v>
      </c>
      <c r="M180">
        <f t="shared" si="2"/>
        <v>3.5680000000000003E-2</v>
      </c>
    </row>
    <row r="181" spans="1:13" x14ac:dyDescent="0.3">
      <c r="A181" s="15"/>
      <c r="B181" s="1"/>
      <c r="C181" s="1">
        <v>338.32</v>
      </c>
      <c r="D181" s="30">
        <v>8.7179999999999994E-2</v>
      </c>
      <c r="E181" s="5">
        <v>5.33593E-3</v>
      </c>
      <c r="M181">
        <f t="shared" si="2"/>
        <v>8.7179999999999994E-2</v>
      </c>
    </row>
    <row r="182" spans="1:13" x14ac:dyDescent="0.3">
      <c r="A182" s="15"/>
      <c r="B182" s="1" t="s">
        <v>12</v>
      </c>
      <c r="C182" s="1">
        <v>2614.5300000000002</v>
      </c>
      <c r="D182" s="30">
        <v>4.9189999999999998E-2</v>
      </c>
      <c r="E182" s="6">
        <v>1.2922299999999999E-3</v>
      </c>
      <c r="M182">
        <f t="shared" si="2"/>
        <v>4.9189999999999998E-2</v>
      </c>
    </row>
    <row r="183" spans="1:13" x14ac:dyDescent="0.3">
      <c r="A183" s="15"/>
      <c r="B183" s="1"/>
      <c r="C183" s="1">
        <v>583.19000000000005</v>
      </c>
      <c r="D183" s="30">
        <v>0.14252999999999999</v>
      </c>
      <c r="E183" s="5">
        <v>4.3057199999999999E-3</v>
      </c>
      <c r="M183">
        <f t="shared" si="2"/>
        <v>0.14252999999999999</v>
      </c>
    </row>
    <row r="184" spans="1:13" x14ac:dyDescent="0.3">
      <c r="A184" s="15"/>
      <c r="B184" s="1"/>
      <c r="C184" s="1">
        <v>510.77</v>
      </c>
      <c r="D184" s="30">
        <v>6.3490000000000005E-2</v>
      </c>
      <c r="E184" s="5">
        <v>4.8861199999999999E-3</v>
      </c>
      <c r="M184">
        <f t="shared" si="2"/>
        <v>6.3490000000000005E-2</v>
      </c>
    </row>
    <row r="185" spans="1:13" x14ac:dyDescent="0.3">
      <c r="A185" s="15"/>
      <c r="B185" s="1"/>
      <c r="C185" s="1">
        <v>860.56</v>
      </c>
      <c r="D185" s="30">
        <v>1.5859999999999999E-2</v>
      </c>
      <c r="E185" s="6">
        <v>2.7943299999999998E-3</v>
      </c>
      <c r="M185">
        <f t="shared" si="2"/>
        <v>1.5859999999999999E-2</v>
      </c>
    </row>
    <row r="186" spans="1:13" x14ac:dyDescent="0.3">
      <c r="A186" s="21">
        <v>16</v>
      </c>
      <c r="B186" s="1" t="s">
        <v>7</v>
      </c>
      <c r="C186" s="1">
        <v>351.93</v>
      </c>
      <c r="D186" s="30">
        <v>8.9080000000000006E-2</v>
      </c>
      <c r="E186" s="5">
        <v>4.4069399999999998E-3</v>
      </c>
      <c r="G186" s="21" t="s">
        <v>54</v>
      </c>
      <c r="H186" s="1" t="s">
        <v>7</v>
      </c>
      <c r="I186" s="1">
        <v>351.93</v>
      </c>
      <c r="J186" s="19" t="s">
        <v>57</v>
      </c>
      <c r="K186" s="5"/>
      <c r="L186" s="5"/>
      <c r="M186">
        <f t="shared" si="2"/>
        <v>8.9080000000000006E-2</v>
      </c>
    </row>
    <row r="187" spans="1:13" x14ac:dyDescent="0.3">
      <c r="A187" s="15" t="s">
        <v>12</v>
      </c>
      <c r="B187" s="1"/>
      <c r="C187" s="1">
        <v>295.22000000000003</v>
      </c>
      <c r="D187" s="30">
        <v>5.5109999999999999E-2</v>
      </c>
      <c r="E187" s="5">
        <v>5.77598E-3</v>
      </c>
      <c r="G187" s="15" t="s">
        <v>12</v>
      </c>
      <c r="H187" s="1"/>
      <c r="I187" s="1">
        <v>295.22000000000003</v>
      </c>
      <c r="J187" s="18" t="s">
        <v>58</v>
      </c>
      <c r="K187" s="5"/>
      <c r="L187" s="5"/>
      <c r="M187">
        <f t="shared" si="2"/>
        <v>5.5109999999999999E-2</v>
      </c>
    </row>
    <row r="188" spans="1:13" x14ac:dyDescent="0.3">
      <c r="A188" s="15" t="s">
        <v>32</v>
      </c>
      <c r="B188" s="1" t="s">
        <v>8</v>
      </c>
      <c r="C188" s="1">
        <v>609.32000000000005</v>
      </c>
      <c r="D188" s="30">
        <v>6.132E-2</v>
      </c>
      <c r="E188" s="5">
        <v>3.1142299999999999E-3</v>
      </c>
      <c r="G188" s="15" t="s">
        <v>32</v>
      </c>
      <c r="H188" s="1" t="s">
        <v>8</v>
      </c>
      <c r="I188" s="1">
        <v>609.32000000000005</v>
      </c>
      <c r="J188" s="4">
        <v>6.132E-2</v>
      </c>
      <c r="K188" s="5">
        <v>2.8087300000000002E-3</v>
      </c>
      <c r="L188" s="5">
        <v>3.1142299999999999E-3</v>
      </c>
      <c r="M188">
        <f t="shared" si="2"/>
        <v>6.132E-2</v>
      </c>
    </row>
    <row r="189" spans="1:13" x14ac:dyDescent="0.3">
      <c r="A189" s="15" t="s">
        <v>33</v>
      </c>
      <c r="B189" s="1"/>
      <c r="C189" s="1">
        <v>1764.49</v>
      </c>
      <c r="D189" s="33">
        <v>1.055E-2</v>
      </c>
      <c r="E189" s="5">
        <v>1.51425E-3</v>
      </c>
      <c r="G189" s="15" t="s">
        <v>33</v>
      </c>
      <c r="H189" s="1"/>
      <c r="I189" s="1">
        <v>1764.49</v>
      </c>
      <c r="J189" s="19" t="s">
        <v>55</v>
      </c>
      <c r="K189" s="5"/>
      <c r="L189" s="5"/>
      <c r="M189">
        <f t="shared" si="2"/>
        <v>1.055E-2</v>
      </c>
    </row>
    <row r="190" spans="1:13" x14ac:dyDescent="0.3">
      <c r="A190" s="15" t="s">
        <v>34</v>
      </c>
      <c r="B190" s="1"/>
      <c r="C190" s="1">
        <v>1120.29</v>
      </c>
      <c r="D190" s="30">
        <v>1.2200000000000001E-2</v>
      </c>
      <c r="E190" s="5">
        <v>2.17856E-3</v>
      </c>
      <c r="G190" s="15" t="s">
        <v>34</v>
      </c>
      <c r="H190" s="1"/>
      <c r="I190" s="1">
        <v>1120.29</v>
      </c>
      <c r="J190" s="4"/>
      <c r="K190" s="5"/>
      <c r="L190" s="5"/>
      <c r="M190">
        <f t="shared" si="2"/>
        <v>1.2200000000000001E-2</v>
      </c>
    </row>
    <row r="191" spans="1:13" x14ac:dyDescent="0.3">
      <c r="A191" s="15"/>
      <c r="B191" s="1" t="s">
        <v>9</v>
      </c>
      <c r="C191" s="1">
        <v>1460.82</v>
      </c>
      <c r="D191" s="31">
        <v>6.18397033E-3</v>
      </c>
      <c r="E191" s="6">
        <v>1.83172E-3</v>
      </c>
      <c r="G191" s="15"/>
      <c r="H191" s="1" t="s">
        <v>9</v>
      </c>
      <c r="I191" s="1">
        <v>1460.82</v>
      </c>
      <c r="J191" s="5">
        <v>6.18397033E-3</v>
      </c>
      <c r="K191" s="5">
        <v>1.10778E-3</v>
      </c>
      <c r="L191" s="6">
        <v>1.83172E-3</v>
      </c>
      <c r="M191">
        <f t="shared" si="2"/>
        <v>6.18397033E-3</v>
      </c>
    </row>
    <row r="192" spans="1:13" x14ac:dyDescent="0.3">
      <c r="A192" s="15"/>
      <c r="B192" s="1" t="s">
        <v>10</v>
      </c>
      <c r="C192" s="1">
        <v>238.63</v>
      </c>
      <c r="D192" s="30">
        <v>0.17946000000000001</v>
      </c>
      <c r="E192" s="5">
        <v>6.4757599999999997E-3</v>
      </c>
      <c r="G192" s="15"/>
      <c r="H192" s="1" t="s">
        <v>10</v>
      </c>
      <c r="I192" s="1">
        <v>238.63</v>
      </c>
      <c r="J192" s="4"/>
      <c r="K192" s="5"/>
      <c r="L192" s="5"/>
      <c r="M192">
        <f t="shared" si="2"/>
        <v>0.17946000000000001</v>
      </c>
    </row>
    <row r="193" spans="1:13" x14ac:dyDescent="0.3">
      <c r="A193" s="15"/>
      <c r="B193" s="1" t="s">
        <v>11</v>
      </c>
      <c r="C193" s="1">
        <v>911.21</v>
      </c>
      <c r="D193" s="30">
        <v>3.3410000000000002E-2</v>
      </c>
      <c r="E193" s="5">
        <v>2.19981E-3</v>
      </c>
      <c r="G193" s="15"/>
      <c r="H193" s="1" t="s">
        <v>11</v>
      </c>
      <c r="I193" s="1">
        <v>911.21</v>
      </c>
      <c r="J193" s="4">
        <v>3.3410000000000002E-2</v>
      </c>
      <c r="K193" s="5">
        <v>2.0698800000000001E-3</v>
      </c>
      <c r="L193" s="5">
        <v>2.19981E-3</v>
      </c>
      <c r="M193">
        <f t="shared" si="2"/>
        <v>3.3410000000000002E-2</v>
      </c>
    </row>
    <row r="194" spans="1:13" x14ac:dyDescent="0.3">
      <c r="A194" s="15"/>
      <c r="B194" s="1"/>
      <c r="C194" s="1">
        <v>968.97</v>
      </c>
      <c r="D194" s="30">
        <v>1.3520000000000001E-2</v>
      </c>
      <c r="E194" s="5">
        <v>2.7116200000000001E-3</v>
      </c>
      <c r="G194" s="15"/>
      <c r="H194" s="1"/>
      <c r="I194" s="1">
        <v>968.97</v>
      </c>
      <c r="J194" s="4">
        <v>1.3520000000000001E-2</v>
      </c>
      <c r="K194" s="5">
        <v>1.63922E-3</v>
      </c>
      <c r="L194" s="5">
        <v>2.7116200000000001E-3</v>
      </c>
      <c r="M194">
        <f t="shared" si="2"/>
        <v>1.3520000000000001E-2</v>
      </c>
    </row>
    <row r="195" spans="1:13" x14ac:dyDescent="0.3">
      <c r="A195" s="15"/>
      <c r="B195" s="1"/>
      <c r="C195" s="1">
        <v>338.32</v>
      </c>
      <c r="D195" s="30">
        <v>2.9590000000000002E-2</v>
      </c>
      <c r="E195" s="5">
        <v>4.0412699999999996E-3</v>
      </c>
      <c r="G195" s="15"/>
      <c r="H195" s="1"/>
      <c r="I195" s="1">
        <v>338.32</v>
      </c>
      <c r="J195" s="4">
        <v>2.9590000000000002E-2</v>
      </c>
      <c r="K195" s="5">
        <v>2.444E-3</v>
      </c>
      <c r="L195" s="5">
        <v>4.0412699999999996E-3</v>
      </c>
      <c r="M195">
        <f t="shared" si="2"/>
        <v>2.9590000000000002E-2</v>
      </c>
    </row>
    <row r="196" spans="1:13" x14ac:dyDescent="0.3">
      <c r="A196" s="15"/>
      <c r="B196" s="1" t="s">
        <v>12</v>
      </c>
      <c r="C196" s="1">
        <v>2614.5300000000002</v>
      </c>
      <c r="D196" s="4">
        <v>0</v>
      </c>
      <c r="E196" s="5">
        <v>0</v>
      </c>
      <c r="G196" s="15"/>
      <c r="H196" s="1" t="s">
        <v>12</v>
      </c>
      <c r="I196" s="1">
        <v>2614.5300000000002</v>
      </c>
      <c r="J196" s="18" t="s">
        <v>59</v>
      </c>
      <c r="K196" s="5"/>
      <c r="L196" s="5"/>
      <c r="M196">
        <f t="shared" si="2"/>
        <v>0</v>
      </c>
    </row>
    <row r="197" spans="1:13" x14ac:dyDescent="0.3">
      <c r="A197" s="15"/>
      <c r="B197" s="1"/>
      <c r="C197" s="1">
        <v>583.19000000000005</v>
      </c>
      <c r="D197" s="30">
        <v>5.364E-2</v>
      </c>
      <c r="E197" s="5">
        <v>3.23187E-3</v>
      </c>
      <c r="G197" s="15"/>
      <c r="H197" s="1"/>
      <c r="I197" s="1">
        <v>583.19000000000005</v>
      </c>
      <c r="J197" s="4">
        <v>5.364E-2</v>
      </c>
      <c r="K197" s="5">
        <v>2.6927600000000002E-3</v>
      </c>
      <c r="L197" s="5">
        <v>3.23187E-3</v>
      </c>
      <c r="M197">
        <f t="shared" ref="M197:M260" si="3">MAX(D197:E197)</f>
        <v>5.364E-2</v>
      </c>
    </row>
    <row r="198" spans="1:13" x14ac:dyDescent="0.3">
      <c r="A198" s="15"/>
      <c r="B198" s="1"/>
      <c r="C198" s="1">
        <v>510.77</v>
      </c>
      <c r="D198" s="30">
        <v>3.406E-2</v>
      </c>
      <c r="E198" s="5">
        <v>3.9120500000000002E-3</v>
      </c>
      <c r="G198" s="15"/>
      <c r="H198" s="1"/>
      <c r="I198" s="1">
        <v>510.77</v>
      </c>
      <c r="J198" s="4">
        <v>3.406E-2</v>
      </c>
      <c r="K198" s="5">
        <v>2.48869E-3</v>
      </c>
      <c r="L198" s="5">
        <v>3.9120500000000002E-3</v>
      </c>
      <c r="M198">
        <f t="shared" si="3"/>
        <v>3.406E-2</v>
      </c>
    </row>
    <row r="199" spans="1:13" x14ac:dyDescent="0.3">
      <c r="A199" s="15"/>
      <c r="B199" s="1"/>
      <c r="C199" s="1">
        <v>860.56</v>
      </c>
      <c r="D199" s="32">
        <v>4.8646067899999999E-3</v>
      </c>
      <c r="E199" s="5">
        <v>2.1764200000000001E-3</v>
      </c>
      <c r="G199" s="15"/>
      <c r="H199" s="1"/>
      <c r="I199" s="1">
        <v>860.56</v>
      </c>
      <c r="J199" s="19" t="s">
        <v>56</v>
      </c>
      <c r="K199" s="5"/>
      <c r="L199" s="5"/>
      <c r="M199">
        <f t="shared" si="3"/>
        <v>4.8646067899999999E-3</v>
      </c>
    </row>
    <row r="200" spans="1:13" x14ac:dyDescent="0.3">
      <c r="A200" s="21">
        <v>18</v>
      </c>
      <c r="B200" s="1" t="s">
        <v>7</v>
      </c>
      <c r="C200" s="1">
        <v>351.93</v>
      </c>
      <c r="D200" s="30">
        <v>0.15054000000000001</v>
      </c>
      <c r="E200" s="5">
        <v>4.9772200000000001E-3</v>
      </c>
      <c r="G200" s="21">
        <v>18</v>
      </c>
      <c r="H200" s="1" t="s">
        <v>7</v>
      </c>
      <c r="I200" s="1">
        <v>351.93</v>
      </c>
      <c r="J200" s="4">
        <v>0.15054000000000001</v>
      </c>
      <c r="K200" s="5">
        <v>4.44153E-3</v>
      </c>
      <c r="L200" s="5">
        <v>4.9772200000000001E-3</v>
      </c>
      <c r="M200">
        <f t="shared" si="3"/>
        <v>0.15054000000000001</v>
      </c>
    </row>
    <row r="201" spans="1:13" x14ac:dyDescent="0.3">
      <c r="A201" s="15" t="s">
        <v>12</v>
      </c>
      <c r="B201" s="1"/>
      <c r="C201" s="1">
        <v>295.22000000000003</v>
      </c>
      <c r="D201" s="29">
        <v>8.2780000000000006E-2</v>
      </c>
      <c r="E201" s="5">
        <v>5.7640699999999996E-3</v>
      </c>
      <c r="G201" s="15" t="s">
        <v>12</v>
      </c>
      <c r="H201" s="1"/>
      <c r="I201" s="1">
        <v>295.22000000000003</v>
      </c>
      <c r="J201" s="4"/>
      <c r="K201" s="5"/>
      <c r="L201" s="5"/>
      <c r="M201">
        <f t="shared" si="3"/>
        <v>8.2780000000000006E-2</v>
      </c>
    </row>
    <row r="202" spans="1:13" x14ac:dyDescent="0.3">
      <c r="A202" s="15">
        <v>351</v>
      </c>
      <c r="B202" s="1" t="s">
        <v>8</v>
      </c>
      <c r="C202" s="1">
        <v>609.32000000000005</v>
      </c>
      <c r="D202" s="30">
        <v>0.10206</v>
      </c>
      <c r="E202" s="5">
        <v>4.1193799999999997E-3</v>
      </c>
      <c r="G202" s="15">
        <v>351</v>
      </c>
      <c r="H202" s="1" t="s">
        <v>8</v>
      </c>
      <c r="I202" s="1">
        <v>609.32000000000005</v>
      </c>
      <c r="J202" s="4">
        <v>0.10206</v>
      </c>
      <c r="K202" s="5">
        <v>3.6452500000000001E-3</v>
      </c>
      <c r="L202" s="5">
        <v>4.1193799999999997E-3</v>
      </c>
      <c r="M202">
        <f t="shared" si="3"/>
        <v>0.10206</v>
      </c>
    </row>
    <row r="203" spans="1:13" x14ac:dyDescent="0.3">
      <c r="A203" s="15" t="s">
        <v>28</v>
      </c>
      <c r="B203" s="1"/>
      <c r="C203" s="1">
        <v>1764.49</v>
      </c>
      <c r="D203" s="30">
        <v>1.636E-2</v>
      </c>
      <c r="E203" s="5">
        <v>1.70991E-3</v>
      </c>
      <c r="G203" s="15" t="s">
        <v>28</v>
      </c>
      <c r="H203" s="1"/>
      <c r="I203" s="1">
        <v>1764.49</v>
      </c>
      <c r="J203" s="4">
        <v>1.636E-2</v>
      </c>
      <c r="K203" s="5">
        <v>1.4688399999999999E-3</v>
      </c>
      <c r="L203" s="5">
        <v>1.70991E-3</v>
      </c>
      <c r="M203">
        <f t="shared" si="3"/>
        <v>1.636E-2</v>
      </c>
    </row>
    <row r="204" spans="1:13" x14ac:dyDescent="0.3">
      <c r="A204" s="15" t="s">
        <v>30</v>
      </c>
      <c r="B204" s="1"/>
      <c r="C204" s="1">
        <v>1120.29</v>
      </c>
      <c r="D204" s="30">
        <v>2.0889999999999999E-2</v>
      </c>
      <c r="E204" s="5">
        <v>2.4890300000000001E-3</v>
      </c>
      <c r="G204" s="15" t="s">
        <v>30</v>
      </c>
      <c r="H204" s="1"/>
      <c r="I204" s="1">
        <v>1120.29</v>
      </c>
      <c r="J204" s="4"/>
      <c r="K204" s="5"/>
      <c r="L204" s="5"/>
      <c r="M204">
        <f t="shared" si="3"/>
        <v>2.0889999999999999E-2</v>
      </c>
    </row>
    <row r="205" spans="1:13" x14ac:dyDescent="0.3">
      <c r="A205" s="15" t="s">
        <v>31</v>
      </c>
      <c r="B205" s="1" t="s">
        <v>9</v>
      </c>
      <c r="C205" s="1">
        <v>1460.82</v>
      </c>
      <c r="D205" s="29">
        <v>2.0830000000000001E-2</v>
      </c>
      <c r="E205" s="5">
        <v>1.7870500000000001E-3</v>
      </c>
      <c r="G205" s="15" t="s">
        <v>31</v>
      </c>
      <c r="H205" s="1" t="s">
        <v>9</v>
      </c>
      <c r="I205" s="1">
        <v>1460.82</v>
      </c>
      <c r="J205" s="18" t="s">
        <v>61</v>
      </c>
      <c r="K205" s="5"/>
      <c r="L205" s="5"/>
      <c r="M205">
        <f t="shared" si="3"/>
        <v>2.0830000000000001E-2</v>
      </c>
    </row>
    <row r="206" spans="1:13" x14ac:dyDescent="0.3">
      <c r="A206" s="15"/>
      <c r="B206" s="1" t="s">
        <v>10</v>
      </c>
      <c r="C206" s="1">
        <v>238.63</v>
      </c>
      <c r="D206" s="30">
        <v>0.47765999999999997</v>
      </c>
      <c r="E206" s="5">
        <v>8.9643499999999994E-3</v>
      </c>
      <c r="G206" s="15"/>
      <c r="H206" s="1" t="s">
        <v>10</v>
      </c>
      <c r="I206" s="1">
        <v>238.63</v>
      </c>
      <c r="J206" s="4"/>
      <c r="K206" s="5"/>
      <c r="L206" s="5"/>
      <c r="M206">
        <f t="shared" si="3"/>
        <v>0.47765999999999997</v>
      </c>
    </row>
    <row r="207" spans="1:13" x14ac:dyDescent="0.3">
      <c r="A207" s="15"/>
      <c r="B207" s="1" t="s">
        <v>11</v>
      </c>
      <c r="C207" s="1">
        <v>911.21</v>
      </c>
      <c r="D207" s="30">
        <v>8.5730000000000001E-2</v>
      </c>
      <c r="E207" s="5">
        <v>2.8810300000000001E-3</v>
      </c>
      <c r="G207" s="15"/>
      <c r="H207" s="1" t="s">
        <v>11</v>
      </c>
      <c r="I207" s="1">
        <v>911.21</v>
      </c>
      <c r="J207" s="4">
        <v>8.5730000000000001E-2</v>
      </c>
      <c r="K207" s="5">
        <v>3.1718200000000001E-3</v>
      </c>
      <c r="L207" s="5">
        <v>2.8810300000000001E-3</v>
      </c>
      <c r="M207">
        <f t="shared" si="3"/>
        <v>8.5730000000000001E-2</v>
      </c>
    </row>
    <row r="208" spans="1:13" x14ac:dyDescent="0.3">
      <c r="A208" s="15"/>
      <c r="B208" s="1"/>
      <c r="C208" s="1">
        <v>968.97</v>
      </c>
      <c r="D208" s="30">
        <v>4.7320000000000001E-2</v>
      </c>
      <c r="E208" s="5">
        <v>3.2609599999999998E-3</v>
      </c>
      <c r="G208" s="15"/>
      <c r="H208" s="1"/>
      <c r="I208" s="1">
        <v>968.97</v>
      </c>
      <c r="J208" s="4">
        <v>4.7320000000000001E-2</v>
      </c>
      <c r="K208" s="5">
        <v>2.5807999999999998E-3</v>
      </c>
      <c r="L208" s="5">
        <v>3.2609599999999998E-3</v>
      </c>
      <c r="M208">
        <f t="shared" si="3"/>
        <v>4.7320000000000001E-2</v>
      </c>
    </row>
    <row r="209" spans="1:13" x14ac:dyDescent="0.3">
      <c r="A209" s="15"/>
      <c r="B209" s="1"/>
      <c r="C209" s="1">
        <v>338.32</v>
      </c>
      <c r="D209" s="30">
        <v>8.1869999999999998E-2</v>
      </c>
      <c r="E209" s="5">
        <v>5.6136800000000002E-3</v>
      </c>
      <c r="G209" s="15"/>
      <c r="H209" s="1"/>
      <c r="I209" s="1">
        <v>338.32</v>
      </c>
      <c r="J209" s="4">
        <v>8.1869999999999998E-2</v>
      </c>
      <c r="K209" s="5">
        <v>3.7394799999999999E-3</v>
      </c>
      <c r="L209" s="5">
        <v>5.6136800000000002E-3</v>
      </c>
      <c r="M209">
        <f t="shared" si="3"/>
        <v>8.1869999999999998E-2</v>
      </c>
    </row>
    <row r="210" spans="1:13" x14ac:dyDescent="0.3">
      <c r="A210" s="15"/>
      <c r="B210" s="1" t="s">
        <v>12</v>
      </c>
      <c r="C210" s="1">
        <v>2614.5300000000002</v>
      </c>
      <c r="D210" s="30">
        <v>0</v>
      </c>
      <c r="E210" s="5">
        <v>0</v>
      </c>
      <c r="G210" s="15"/>
      <c r="H210" s="1" t="s">
        <v>12</v>
      </c>
      <c r="I210" s="1">
        <v>2614.5300000000002</v>
      </c>
      <c r="J210" s="4">
        <v>4.5440000000000001E-2</v>
      </c>
      <c r="K210" s="5">
        <v>2.2050199999999998E-3</v>
      </c>
      <c r="L210" s="5">
        <v>1.31774E-3</v>
      </c>
      <c r="M210">
        <f t="shared" si="3"/>
        <v>0</v>
      </c>
    </row>
    <row r="211" spans="1:13" x14ac:dyDescent="0.3">
      <c r="A211" s="15"/>
      <c r="B211" s="1"/>
      <c r="C211" s="1">
        <v>583.19000000000005</v>
      </c>
      <c r="D211" s="30">
        <v>0.13012000000000001</v>
      </c>
      <c r="E211" s="5">
        <v>4.3761700000000004E-3</v>
      </c>
      <c r="G211" s="15"/>
      <c r="H211" s="1"/>
      <c r="I211" s="1">
        <v>583.19000000000005</v>
      </c>
      <c r="J211" s="4">
        <v>0.13012000000000001</v>
      </c>
      <c r="K211" s="5">
        <v>4.0830500000000004E-3</v>
      </c>
      <c r="L211" s="5">
        <v>4.3761700000000004E-3</v>
      </c>
      <c r="M211">
        <f t="shared" si="3"/>
        <v>0.13012000000000001</v>
      </c>
    </row>
    <row r="212" spans="1:13" x14ac:dyDescent="0.3">
      <c r="A212" s="15"/>
      <c r="B212" s="1"/>
      <c r="C212" s="1">
        <v>510.77</v>
      </c>
      <c r="D212" s="30">
        <v>6.0999999999999999E-2</v>
      </c>
      <c r="E212" s="5">
        <v>4.5626499999999997E-3</v>
      </c>
      <c r="G212" s="15"/>
      <c r="H212" s="1"/>
      <c r="I212" s="1">
        <v>510.77</v>
      </c>
      <c r="J212" s="4">
        <v>6.0999999999999999E-2</v>
      </c>
      <c r="K212" s="5">
        <v>3.1537800000000001E-3</v>
      </c>
      <c r="L212" s="5">
        <v>4.5626499999999997E-3</v>
      </c>
      <c r="M212">
        <f t="shared" si="3"/>
        <v>6.0999999999999999E-2</v>
      </c>
    </row>
    <row r="213" spans="1:13" x14ac:dyDescent="0.3">
      <c r="A213" s="15"/>
      <c r="B213" s="1"/>
      <c r="C213" s="1">
        <v>860.56</v>
      </c>
      <c r="D213" s="30">
        <v>1.3809999999999999E-2</v>
      </c>
      <c r="E213" s="5">
        <v>2.9659199999999999E-3</v>
      </c>
      <c r="G213" s="15"/>
      <c r="H213" s="1"/>
      <c r="I213" s="1">
        <v>860.56</v>
      </c>
      <c r="J213" s="4">
        <v>1.3809999999999999E-2</v>
      </c>
      <c r="K213" s="5">
        <v>1.71901E-3</v>
      </c>
      <c r="L213" s="5">
        <v>2.9659199999999999E-3</v>
      </c>
      <c r="M213">
        <f t="shared" si="3"/>
        <v>1.3809999999999999E-2</v>
      </c>
    </row>
    <row r="214" spans="1:13" x14ac:dyDescent="0.3">
      <c r="A214" s="21">
        <v>19</v>
      </c>
      <c r="B214" s="1" t="s">
        <v>7</v>
      </c>
      <c r="C214" s="1">
        <v>351.93</v>
      </c>
      <c r="D214" s="30">
        <v>0.28172999999999998</v>
      </c>
      <c r="E214" s="5">
        <v>7.8311700000000001E-3</v>
      </c>
      <c r="G214" s="21">
        <v>19</v>
      </c>
      <c r="H214" s="1" t="s">
        <v>7</v>
      </c>
      <c r="I214" s="1">
        <v>351.93</v>
      </c>
      <c r="J214" s="4"/>
      <c r="K214" s="5"/>
      <c r="L214" s="5"/>
      <c r="M214">
        <f t="shared" si="3"/>
        <v>0.28172999999999998</v>
      </c>
    </row>
    <row r="215" spans="1:13" x14ac:dyDescent="0.3">
      <c r="A215" s="15" t="s">
        <v>12</v>
      </c>
      <c r="B215" s="1"/>
      <c r="C215" s="1">
        <v>295.22000000000003</v>
      </c>
      <c r="D215" s="30">
        <v>0.16786999999999999</v>
      </c>
      <c r="E215" s="5">
        <v>9.38867E-3</v>
      </c>
      <c r="G215" s="15" t="s">
        <v>12</v>
      </c>
      <c r="H215" s="1"/>
      <c r="I215" s="1">
        <v>295.22000000000003</v>
      </c>
      <c r="J215" s="4"/>
      <c r="K215" s="5"/>
      <c r="L215" s="5"/>
      <c r="M215">
        <f t="shared" si="3"/>
        <v>0.16786999999999999</v>
      </c>
    </row>
    <row r="216" spans="1:13" x14ac:dyDescent="0.3">
      <c r="A216" s="15" t="s">
        <v>28</v>
      </c>
      <c r="B216" s="1" t="s">
        <v>8</v>
      </c>
      <c r="C216" s="1">
        <v>609.32000000000005</v>
      </c>
      <c r="D216" s="30">
        <v>0.19653000000000001</v>
      </c>
      <c r="E216" s="5">
        <v>5.2509200000000001E-3</v>
      </c>
      <c r="G216" s="15" t="s">
        <v>28</v>
      </c>
      <c r="H216" s="1" t="s">
        <v>8</v>
      </c>
      <c r="I216" s="1">
        <v>609.32000000000005</v>
      </c>
      <c r="J216" s="4">
        <v>0.19653000000000001</v>
      </c>
      <c r="K216" s="5">
        <v>4.9661200000000001E-3</v>
      </c>
      <c r="L216" s="5">
        <v>5.2509200000000001E-3</v>
      </c>
      <c r="M216">
        <f t="shared" si="3"/>
        <v>0.19653000000000001</v>
      </c>
    </row>
    <row r="217" spans="1:13" x14ac:dyDescent="0.3">
      <c r="A217" s="15" t="s">
        <v>29</v>
      </c>
      <c r="B217" s="1"/>
      <c r="C217" s="1">
        <v>1764.49</v>
      </c>
      <c r="D217" s="4">
        <v>3.1189999999999999E-2</v>
      </c>
      <c r="E217" s="5">
        <v>1</v>
      </c>
      <c r="G217" s="15" t="s">
        <v>29</v>
      </c>
      <c r="H217" s="1"/>
      <c r="I217" s="1">
        <v>1764.49</v>
      </c>
      <c r="J217" s="19" t="s">
        <v>65</v>
      </c>
      <c r="K217" s="5"/>
      <c r="L217" s="5"/>
      <c r="M217">
        <f t="shared" si="3"/>
        <v>1</v>
      </c>
    </row>
    <row r="218" spans="1:13" x14ac:dyDescent="0.3">
      <c r="A218" s="15" t="s">
        <v>23</v>
      </c>
      <c r="B218" s="1"/>
      <c r="C218" s="1">
        <v>1120.29</v>
      </c>
      <c r="D218" s="30">
        <v>3.9010000000000003E-2</v>
      </c>
      <c r="E218" s="5">
        <v>2.8202600000000002E-3</v>
      </c>
      <c r="G218" s="15" t="s">
        <v>23</v>
      </c>
      <c r="H218" s="1"/>
      <c r="I218" s="1">
        <v>1120.29</v>
      </c>
      <c r="J218" s="4"/>
      <c r="K218" s="5"/>
      <c r="L218" s="5"/>
      <c r="M218">
        <f t="shared" si="3"/>
        <v>3.9010000000000003E-2</v>
      </c>
    </row>
    <row r="219" spans="1:13" x14ac:dyDescent="0.3">
      <c r="A219" s="15"/>
      <c r="B219" s="1" t="s">
        <v>9</v>
      </c>
      <c r="C219" s="1">
        <v>1460.82</v>
      </c>
      <c r="D219" s="30">
        <v>1.6500000000000001E-2</v>
      </c>
      <c r="E219" s="5">
        <v>2.4171800000000001E-3</v>
      </c>
      <c r="G219" s="15"/>
      <c r="H219" s="1" t="s">
        <v>9</v>
      </c>
      <c r="I219" s="1">
        <v>1460.82</v>
      </c>
      <c r="J219" s="4">
        <v>1.6500000000000001E-2</v>
      </c>
      <c r="K219" s="5">
        <v>1.64123E-3</v>
      </c>
      <c r="L219" s="5">
        <v>2.4171800000000001E-3</v>
      </c>
      <c r="M219">
        <f t="shared" si="3"/>
        <v>1.6500000000000001E-2</v>
      </c>
    </row>
    <row r="220" spans="1:13" x14ac:dyDescent="0.3">
      <c r="A220" s="15"/>
      <c r="B220" s="1" t="s">
        <v>10</v>
      </c>
      <c r="C220" s="1">
        <v>238.63</v>
      </c>
      <c r="D220" s="33">
        <v>1.05124</v>
      </c>
      <c r="E220" s="4">
        <v>1.214E-2</v>
      </c>
      <c r="G220" s="15"/>
      <c r="H220" s="1" t="s">
        <v>10</v>
      </c>
      <c r="I220" s="1">
        <v>238.63</v>
      </c>
      <c r="J220" s="4"/>
      <c r="K220" s="4"/>
      <c r="L220" s="4"/>
      <c r="M220">
        <f t="shared" si="3"/>
        <v>1.05124</v>
      </c>
    </row>
    <row r="221" spans="1:13" x14ac:dyDescent="0.3">
      <c r="A221" s="15"/>
      <c r="B221" s="1" t="s">
        <v>11</v>
      </c>
      <c r="C221" s="1">
        <v>911.21</v>
      </c>
      <c r="D221" s="29">
        <v>0.18976999999999999</v>
      </c>
      <c r="E221" s="5">
        <v>4.5223299999999998E-3</v>
      </c>
      <c r="G221" s="15"/>
      <c r="H221" s="1" t="s">
        <v>11</v>
      </c>
      <c r="I221" s="1">
        <v>911.21</v>
      </c>
      <c r="J221" s="18" t="s">
        <v>63</v>
      </c>
      <c r="K221" s="5"/>
      <c r="L221" s="5"/>
      <c r="M221">
        <f t="shared" si="3"/>
        <v>0.18976999999999999</v>
      </c>
    </row>
    <row r="222" spans="1:13" x14ac:dyDescent="0.3">
      <c r="A222" s="15"/>
      <c r="B222" s="1"/>
      <c r="C222" s="1">
        <v>968.97</v>
      </c>
      <c r="D222" s="30">
        <v>0.11061</v>
      </c>
      <c r="E222" s="5">
        <v>3.9639100000000002E-3</v>
      </c>
      <c r="G222" s="15"/>
      <c r="H222" s="1"/>
      <c r="I222" s="1">
        <v>968.97</v>
      </c>
      <c r="J222" s="4">
        <v>0.11061</v>
      </c>
      <c r="K222" s="5">
        <v>3.7268100000000001E-3</v>
      </c>
      <c r="L222" s="5">
        <v>3.9639100000000002E-3</v>
      </c>
      <c r="M222">
        <f t="shared" si="3"/>
        <v>0.11061</v>
      </c>
    </row>
    <row r="223" spans="1:13" x14ac:dyDescent="0.3">
      <c r="A223" s="15"/>
      <c r="B223" s="1"/>
      <c r="C223" s="1">
        <v>338.32</v>
      </c>
      <c r="D223" s="30">
        <v>0.18970000000000001</v>
      </c>
      <c r="E223" s="5">
        <v>8.4807700000000003E-3</v>
      </c>
      <c r="G223" s="15"/>
      <c r="H223" s="1"/>
      <c r="I223" s="1">
        <v>338.32</v>
      </c>
      <c r="J223" s="4">
        <v>0.18970000000000001</v>
      </c>
      <c r="K223" s="5">
        <v>5.7201700000000001E-3</v>
      </c>
      <c r="L223" s="5">
        <v>8.4807700000000003E-3</v>
      </c>
      <c r="M223">
        <f t="shared" si="3"/>
        <v>0.18970000000000001</v>
      </c>
    </row>
    <row r="224" spans="1:13" x14ac:dyDescent="0.3">
      <c r="A224" s="15"/>
      <c r="B224" s="1" t="s">
        <v>12</v>
      </c>
      <c r="C224" s="1">
        <v>2614.5300000000002</v>
      </c>
      <c r="D224" s="4">
        <v>0</v>
      </c>
      <c r="E224" s="5">
        <v>0</v>
      </c>
      <c r="G224" s="15"/>
      <c r="H224" s="1" t="s">
        <v>12</v>
      </c>
      <c r="I224" s="1">
        <v>2614.5300000000002</v>
      </c>
      <c r="J224" s="18" t="s">
        <v>66</v>
      </c>
      <c r="K224" s="5"/>
      <c r="L224" s="5"/>
      <c r="M224">
        <f t="shared" si="3"/>
        <v>0</v>
      </c>
    </row>
    <row r="225" spans="1:13" x14ac:dyDescent="0.3">
      <c r="A225" s="15"/>
      <c r="B225" s="1"/>
      <c r="C225" s="1">
        <v>583.19000000000005</v>
      </c>
      <c r="D225" s="30">
        <v>0.29579</v>
      </c>
      <c r="E225" s="5">
        <v>5.7482599999999998E-3</v>
      </c>
      <c r="G225" s="15"/>
      <c r="H225" s="1"/>
      <c r="I225" s="1">
        <v>583.19000000000005</v>
      </c>
      <c r="J225" s="4">
        <v>0.29579</v>
      </c>
      <c r="K225" s="5">
        <v>5.9711599999999997E-3</v>
      </c>
      <c r="L225" s="5">
        <v>5.7482599999999998E-3</v>
      </c>
      <c r="M225">
        <f t="shared" si="3"/>
        <v>0.29579</v>
      </c>
    </row>
    <row r="226" spans="1:13" x14ac:dyDescent="0.3">
      <c r="A226" s="15"/>
      <c r="B226" s="1"/>
      <c r="C226" s="1">
        <v>510.77</v>
      </c>
      <c r="D226" s="33">
        <v>0.11395</v>
      </c>
      <c r="E226" s="5">
        <v>5.9270599999999996E-3</v>
      </c>
      <c r="G226" s="15"/>
      <c r="H226" s="1"/>
      <c r="I226" s="1">
        <v>510.77</v>
      </c>
      <c r="J226" s="19" t="s">
        <v>64</v>
      </c>
      <c r="K226" s="5"/>
      <c r="L226" s="5"/>
      <c r="M226">
        <f t="shared" si="3"/>
        <v>0.11395</v>
      </c>
    </row>
    <row r="227" spans="1:13" x14ac:dyDescent="0.3">
      <c r="A227" s="15"/>
      <c r="B227" s="1"/>
      <c r="C227" s="1">
        <v>860.56</v>
      </c>
      <c r="D227" s="30">
        <v>3.1309999999999998E-2</v>
      </c>
      <c r="E227" s="5">
        <v>3.3713300000000001E-3</v>
      </c>
      <c r="G227" s="15"/>
      <c r="H227" s="1"/>
      <c r="I227" s="1">
        <v>860.56</v>
      </c>
      <c r="J227" s="4">
        <v>3.1309999999999998E-2</v>
      </c>
      <c r="K227" s="5">
        <v>2.3140399999999998E-3</v>
      </c>
      <c r="L227" s="5">
        <v>3.3713300000000001E-3</v>
      </c>
      <c r="M227">
        <f t="shared" si="3"/>
        <v>3.1309999999999998E-2</v>
      </c>
    </row>
    <row r="228" spans="1:13" x14ac:dyDescent="0.3">
      <c r="A228" s="15">
        <v>20</v>
      </c>
      <c r="B228" s="1" t="s">
        <v>7</v>
      </c>
      <c r="C228" s="1">
        <v>351.93</v>
      </c>
      <c r="D228" s="30">
        <v>0.13000999999999999</v>
      </c>
      <c r="E228" s="5">
        <v>5.2291200000000003E-3</v>
      </c>
      <c r="M228">
        <f t="shared" si="3"/>
        <v>0.13000999999999999</v>
      </c>
    </row>
    <row r="229" spans="1:13" x14ac:dyDescent="0.3">
      <c r="A229" s="15"/>
      <c r="B229" s="1"/>
      <c r="C229" s="1">
        <v>295.22000000000003</v>
      </c>
      <c r="D229" s="30">
        <v>7.9460000000000003E-2</v>
      </c>
      <c r="E229" s="5">
        <v>7.3317699999999996E-3</v>
      </c>
      <c r="M229">
        <f t="shared" si="3"/>
        <v>7.9460000000000003E-2</v>
      </c>
    </row>
    <row r="230" spans="1:13" x14ac:dyDescent="0.3">
      <c r="A230" s="15"/>
      <c r="B230" s="1" t="s">
        <v>8</v>
      </c>
      <c r="C230" s="1">
        <v>609.32000000000005</v>
      </c>
      <c r="D230" s="30">
        <v>9.3380000000000005E-2</v>
      </c>
      <c r="E230" s="5">
        <v>3.6104499999999999E-3</v>
      </c>
      <c r="M230">
        <f t="shared" si="3"/>
        <v>9.3380000000000005E-2</v>
      </c>
    </row>
    <row r="231" spans="1:13" x14ac:dyDescent="0.3">
      <c r="A231" s="15"/>
      <c r="B231" s="1"/>
      <c r="C231" s="1">
        <v>1764.49</v>
      </c>
      <c r="D231" s="30">
        <v>1.4749999999999999E-2</v>
      </c>
      <c r="E231" s="5">
        <v>1.51581E-3</v>
      </c>
      <c r="M231">
        <f t="shared" si="3"/>
        <v>1.4749999999999999E-2</v>
      </c>
    </row>
    <row r="232" spans="1:13" x14ac:dyDescent="0.3">
      <c r="A232" s="15"/>
      <c r="B232" s="1"/>
      <c r="C232" s="1">
        <v>1120.29</v>
      </c>
      <c r="D232" s="30">
        <v>1.721E-2</v>
      </c>
      <c r="E232" s="7">
        <v>2.3677099999999999E-3</v>
      </c>
      <c r="M232">
        <f t="shared" si="3"/>
        <v>1.721E-2</v>
      </c>
    </row>
    <row r="233" spans="1:13" x14ac:dyDescent="0.3">
      <c r="A233" s="15"/>
      <c r="B233" s="1" t="s">
        <v>9</v>
      </c>
      <c r="C233" s="1">
        <v>1460.82</v>
      </c>
      <c r="D233" s="31">
        <v>9.49191284E-3</v>
      </c>
      <c r="E233" s="5">
        <v>1.8957500000000001E-3</v>
      </c>
      <c r="M233">
        <f t="shared" si="3"/>
        <v>9.49191284E-3</v>
      </c>
    </row>
    <row r="234" spans="1:13" x14ac:dyDescent="0.3">
      <c r="A234" s="15"/>
      <c r="B234" s="1" t="s">
        <v>10</v>
      </c>
      <c r="C234" s="1">
        <v>238.63</v>
      </c>
      <c r="D234" s="30">
        <v>0.42687000000000003</v>
      </c>
      <c r="E234" s="5">
        <v>8.4754099999999992E-3</v>
      </c>
      <c r="M234">
        <f t="shared" si="3"/>
        <v>0.42687000000000003</v>
      </c>
    </row>
    <row r="235" spans="1:13" x14ac:dyDescent="0.3">
      <c r="A235" s="15"/>
      <c r="B235" s="1" t="s">
        <v>11</v>
      </c>
      <c r="C235" s="1">
        <v>911.21</v>
      </c>
      <c r="D235" s="27">
        <v>7.5020000000000003E-2</v>
      </c>
      <c r="E235" s="6">
        <v>2.8058900000000001E-3</v>
      </c>
      <c r="M235">
        <f t="shared" si="3"/>
        <v>7.5020000000000003E-2</v>
      </c>
    </row>
    <row r="236" spans="1:13" x14ac:dyDescent="0.3">
      <c r="A236" s="15"/>
      <c r="B236" s="1"/>
      <c r="C236" s="1">
        <v>968.97</v>
      </c>
      <c r="D236" s="30">
        <v>4.367E-2</v>
      </c>
      <c r="E236" s="5">
        <v>3.1097899999999999E-3</v>
      </c>
      <c r="M236">
        <f t="shared" si="3"/>
        <v>4.367E-2</v>
      </c>
    </row>
    <row r="237" spans="1:13" x14ac:dyDescent="0.3">
      <c r="A237" s="15"/>
      <c r="B237" s="1"/>
      <c r="C237" s="1">
        <v>338.32</v>
      </c>
      <c r="D237" s="30">
        <v>7.6660000000000006E-2</v>
      </c>
      <c r="E237" s="5">
        <v>5.2959699999999997E-3</v>
      </c>
      <c r="M237">
        <f t="shared" si="3"/>
        <v>7.6660000000000006E-2</v>
      </c>
    </row>
    <row r="238" spans="1:13" x14ac:dyDescent="0.3">
      <c r="A238" s="15"/>
      <c r="B238" s="1" t="s">
        <v>12</v>
      </c>
      <c r="C238" s="1">
        <v>2614.5300000000002</v>
      </c>
      <c r="D238" s="30">
        <v>4.3700000000000003E-2</v>
      </c>
      <c r="E238" s="5">
        <v>1.18939E-3</v>
      </c>
      <c r="M238">
        <f t="shared" si="3"/>
        <v>4.3700000000000003E-2</v>
      </c>
    </row>
    <row r="239" spans="1:13" x14ac:dyDescent="0.3">
      <c r="A239" s="15"/>
      <c r="B239" s="1"/>
      <c r="C239" s="1">
        <v>583.19000000000005</v>
      </c>
      <c r="D239" s="30">
        <v>0.11695</v>
      </c>
      <c r="E239" s="5">
        <v>3.96043E-3</v>
      </c>
      <c r="M239">
        <f t="shared" si="3"/>
        <v>0.11695</v>
      </c>
    </row>
    <row r="240" spans="1:13" x14ac:dyDescent="0.3">
      <c r="A240" s="15"/>
      <c r="B240" s="1"/>
      <c r="C240" s="1">
        <v>510.77</v>
      </c>
      <c r="D240" s="30">
        <v>5.9040000000000002E-2</v>
      </c>
      <c r="E240" s="5">
        <v>4.2913300000000003E-3</v>
      </c>
      <c r="M240">
        <f t="shared" si="3"/>
        <v>5.9040000000000002E-2</v>
      </c>
    </row>
    <row r="241" spans="1:13" x14ac:dyDescent="0.3">
      <c r="A241" s="15"/>
      <c r="B241" s="1"/>
      <c r="C241" s="1">
        <v>860.56</v>
      </c>
      <c r="D241" s="30">
        <v>1.2710000000000001E-2</v>
      </c>
      <c r="E241" s="5">
        <v>2.4003200000000001E-3</v>
      </c>
      <c r="M241">
        <f t="shared" si="3"/>
        <v>1.2710000000000001E-2</v>
      </c>
    </row>
    <row r="242" spans="1:13" x14ac:dyDescent="0.3">
      <c r="A242" s="15">
        <v>21</v>
      </c>
      <c r="B242" s="1" t="s">
        <v>7</v>
      </c>
      <c r="C242" s="1">
        <v>351.93</v>
      </c>
      <c r="D242" s="30">
        <v>2.6600100000000002</v>
      </c>
      <c r="E242" s="4">
        <v>2.298E-2</v>
      </c>
      <c r="M242">
        <f t="shared" si="3"/>
        <v>2.6600100000000002</v>
      </c>
    </row>
    <row r="243" spans="1:13" x14ac:dyDescent="0.3">
      <c r="A243" s="15"/>
      <c r="B243" s="1"/>
      <c r="C243" s="1">
        <v>295.22000000000003</v>
      </c>
      <c r="D243" s="30">
        <v>1.56043</v>
      </c>
      <c r="E243" s="4">
        <v>3.209E-2</v>
      </c>
      <c r="M243">
        <f t="shared" si="3"/>
        <v>1.56043</v>
      </c>
    </row>
    <row r="244" spans="1:13" x14ac:dyDescent="0.3">
      <c r="A244" s="15"/>
      <c r="B244" s="1" t="s">
        <v>8</v>
      </c>
      <c r="C244" s="1">
        <v>609.32000000000005</v>
      </c>
      <c r="D244" s="30">
        <v>1.9222699999999999</v>
      </c>
      <c r="E244" s="4">
        <v>1.5859999999999999E-2</v>
      </c>
      <c r="M244">
        <f t="shared" si="3"/>
        <v>1.9222699999999999</v>
      </c>
    </row>
    <row r="245" spans="1:13" x14ac:dyDescent="0.3">
      <c r="A245" s="15"/>
      <c r="B245" s="1"/>
      <c r="C245" s="1">
        <v>1764.49</v>
      </c>
      <c r="D245" s="30">
        <v>0.30471999999999999</v>
      </c>
      <c r="E245" s="5">
        <v>5.98965E-3</v>
      </c>
      <c r="M245">
        <f t="shared" si="3"/>
        <v>0.30471999999999999</v>
      </c>
    </row>
    <row r="246" spans="1:13" x14ac:dyDescent="0.3">
      <c r="A246" s="15"/>
      <c r="B246" s="1"/>
      <c r="C246" s="1">
        <v>1120.29</v>
      </c>
      <c r="D246" s="30">
        <v>0.39689000000000002</v>
      </c>
      <c r="E246" s="5">
        <v>8.6342999999999993E-3</v>
      </c>
      <c r="M246">
        <f t="shared" si="3"/>
        <v>0.39689000000000002</v>
      </c>
    </row>
    <row r="247" spans="1:13" x14ac:dyDescent="0.3">
      <c r="A247" s="15"/>
      <c r="B247" s="1" t="s">
        <v>9</v>
      </c>
      <c r="C247" s="1">
        <v>1460.82</v>
      </c>
      <c r="D247" s="30">
        <v>4.061E-2</v>
      </c>
      <c r="E247" s="5">
        <v>6.86726E-3</v>
      </c>
      <c r="M247">
        <f t="shared" si="3"/>
        <v>4.061E-2</v>
      </c>
    </row>
    <row r="248" spans="1:13" x14ac:dyDescent="0.3">
      <c r="A248" s="15"/>
      <c r="B248" s="1" t="s">
        <v>10</v>
      </c>
      <c r="C248" s="1">
        <v>238.63</v>
      </c>
      <c r="D248" s="30">
        <v>7.4075899999999999</v>
      </c>
      <c r="E248" s="4">
        <v>4.53E-2</v>
      </c>
      <c r="M248">
        <f t="shared" si="3"/>
        <v>7.4075899999999999</v>
      </c>
    </row>
    <row r="249" spans="1:13" x14ac:dyDescent="0.3">
      <c r="A249" s="15"/>
      <c r="B249" s="1" t="s">
        <v>11</v>
      </c>
      <c r="C249" s="1">
        <v>911.21</v>
      </c>
      <c r="D249" s="30">
        <v>1.75589</v>
      </c>
      <c r="E249" s="4">
        <v>1.3129999999999999E-2</v>
      </c>
      <c r="M249">
        <f t="shared" si="3"/>
        <v>1.75589</v>
      </c>
    </row>
    <row r="250" spans="1:13" x14ac:dyDescent="0.3">
      <c r="A250" s="15"/>
      <c r="B250" s="1"/>
      <c r="C250" s="1">
        <v>968.97</v>
      </c>
      <c r="D250" s="30">
        <v>1.00444</v>
      </c>
      <c r="E250" s="4">
        <v>1.1900000000000001E-2</v>
      </c>
      <c r="M250">
        <f t="shared" si="3"/>
        <v>1.00444</v>
      </c>
    </row>
    <row r="251" spans="1:13" x14ac:dyDescent="0.3">
      <c r="A251" s="15"/>
      <c r="B251" s="1"/>
      <c r="C251" s="1">
        <v>338.32</v>
      </c>
      <c r="D251" s="30">
        <v>1.7119899999999999</v>
      </c>
      <c r="E251" s="4">
        <v>3.567E-2</v>
      </c>
      <c r="M251">
        <f t="shared" si="3"/>
        <v>1.7119899999999999</v>
      </c>
    </row>
    <row r="252" spans="1:13" x14ac:dyDescent="0.3">
      <c r="A252" s="15"/>
      <c r="B252" s="1" t="s">
        <v>12</v>
      </c>
      <c r="C252" s="1">
        <v>2614.5300000000002</v>
      </c>
      <c r="D252" s="30">
        <v>0.89807000000000003</v>
      </c>
      <c r="E252" s="5">
        <v>3.3781499999999999E-3</v>
      </c>
      <c r="M252">
        <f t="shared" si="3"/>
        <v>0.89807000000000003</v>
      </c>
    </row>
    <row r="253" spans="1:13" x14ac:dyDescent="0.3">
      <c r="A253" s="15"/>
      <c r="B253" s="1"/>
      <c r="C253" s="1">
        <v>583.19000000000005</v>
      </c>
      <c r="D253" s="30">
        <v>2.6323400000000001</v>
      </c>
      <c r="E253" s="4">
        <v>1.7649999999999999E-2</v>
      </c>
      <c r="M253">
        <f t="shared" si="3"/>
        <v>2.6323400000000001</v>
      </c>
    </row>
    <row r="254" spans="1:13" x14ac:dyDescent="0.3">
      <c r="A254" s="15"/>
      <c r="B254" s="1"/>
      <c r="C254" s="1">
        <v>510.77</v>
      </c>
      <c r="D254" s="30">
        <v>0.85465000000000002</v>
      </c>
      <c r="E254" s="4">
        <v>1.6920000000000001E-2</v>
      </c>
      <c r="M254">
        <f t="shared" si="3"/>
        <v>0.85465000000000002</v>
      </c>
    </row>
    <row r="255" spans="1:13" x14ac:dyDescent="0.3">
      <c r="A255" s="15"/>
      <c r="B255" s="1"/>
      <c r="C255" s="1">
        <v>860.56</v>
      </c>
      <c r="D255" s="30">
        <v>0.30096000000000001</v>
      </c>
      <c r="E255" s="4">
        <v>1.123E-2</v>
      </c>
      <c r="M255">
        <f t="shared" si="3"/>
        <v>0.30096000000000001</v>
      </c>
    </row>
    <row r="256" spans="1:13" x14ac:dyDescent="0.3">
      <c r="A256" s="21">
        <v>22</v>
      </c>
      <c r="B256" s="1" t="s">
        <v>7</v>
      </c>
      <c r="C256" s="1">
        <v>351.93</v>
      </c>
      <c r="D256" s="30">
        <v>3.1896800000000001</v>
      </c>
      <c r="E256" s="4">
        <v>2.6939999999999999E-2</v>
      </c>
      <c r="G256" s="21">
        <v>22</v>
      </c>
      <c r="H256" s="1" t="s">
        <v>7</v>
      </c>
      <c r="I256" s="1">
        <v>351.93</v>
      </c>
      <c r="J256" s="4"/>
      <c r="K256" s="4"/>
      <c r="L256" s="4"/>
      <c r="M256">
        <f t="shared" si="3"/>
        <v>3.1896800000000001</v>
      </c>
    </row>
    <row r="257" spans="1:13" x14ac:dyDescent="0.3">
      <c r="A257" s="15" t="s">
        <v>27</v>
      </c>
      <c r="B257" s="1"/>
      <c r="C257" s="1">
        <v>295.22000000000003</v>
      </c>
      <c r="D257" s="30">
        <v>1.8618699999999999</v>
      </c>
      <c r="E257" s="4">
        <v>3.3439999999999998E-2</v>
      </c>
      <c r="G257" s="15" t="s">
        <v>27</v>
      </c>
      <c r="H257" s="1"/>
      <c r="I257" s="1">
        <v>295.22000000000003</v>
      </c>
      <c r="J257" s="4"/>
      <c r="K257" s="4"/>
      <c r="L257" s="4"/>
      <c r="M257">
        <f t="shared" si="3"/>
        <v>1.8618699999999999</v>
      </c>
    </row>
    <row r="258" spans="1:13" x14ac:dyDescent="0.3">
      <c r="A258" s="15" t="s">
        <v>26</v>
      </c>
      <c r="B258" s="1" t="s">
        <v>8</v>
      </c>
      <c r="C258" s="1">
        <v>609.32000000000005</v>
      </c>
      <c r="D258" s="30">
        <v>2.3043499999999999</v>
      </c>
      <c r="E258" s="4">
        <v>1.6490000000000001E-2</v>
      </c>
      <c r="G258" s="15" t="s">
        <v>26</v>
      </c>
      <c r="H258" s="1" t="s">
        <v>8</v>
      </c>
      <c r="I258" s="1">
        <v>609.32000000000005</v>
      </c>
      <c r="J258" s="4"/>
      <c r="K258" s="4"/>
      <c r="L258" s="4"/>
      <c r="M258">
        <f t="shared" si="3"/>
        <v>2.3043499999999999</v>
      </c>
    </row>
    <row r="259" spans="1:13" x14ac:dyDescent="0.3">
      <c r="A259" s="15" t="s">
        <v>24</v>
      </c>
      <c r="B259" s="1"/>
      <c r="C259" s="1">
        <v>1764.49</v>
      </c>
      <c r="D259" s="30">
        <v>0.36520999999999998</v>
      </c>
      <c r="E259" s="5">
        <v>6.3061899999999997E-3</v>
      </c>
      <c r="G259" s="15" t="s">
        <v>24</v>
      </c>
      <c r="H259" s="1"/>
      <c r="I259" s="1">
        <v>1764.49</v>
      </c>
      <c r="J259" s="4"/>
      <c r="K259" s="5"/>
      <c r="L259" s="5"/>
      <c r="M259">
        <f t="shared" si="3"/>
        <v>0.36520999999999998</v>
      </c>
    </row>
    <row r="260" spans="1:13" x14ac:dyDescent="0.3">
      <c r="A260" s="15"/>
      <c r="B260" s="1"/>
      <c r="C260" s="1">
        <v>1120.29</v>
      </c>
      <c r="D260" s="29">
        <v>0.48204999999999998</v>
      </c>
      <c r="E260" s="5">
        <v>9.0923099999999993E-3</v>
      </c>
      <c r="G260" s="15"/>
      <c r="H260" s="1"/>
      <c r="I260" s="1">
        <v>1120.29</v>
      </c>
      <c r="J260" s="4"/>
      <c r="K260" s="5"/>
      <c r="L260" s="5"/>
      <c r="M260">
        <f t="shared" si="3"/>
        <v>0.48204999999999998</v>
      </c>
    </row>
    <row r="261" spans="1:13" x14ac:dyDescent="0.3">
      <c r="A261" s="15"/>
      <c r="B261" s="1" t="s">
        <v>9</v>
      </c>
      <c r="C261" s="1">
        <v>1460.82</v>
      </c>
      <c r="D261" s="33">
        <v>3.2439999999999997E-2</v>
      </c>
      <c r="E261" s="5">
        <v>6.4806899999999999E-3</v>
      </c>
      <c r="G261" s="15"/>
      <c r="H261" s="1" t="s">
        <v>9</v>
      </c>
      <c r="I261" s="1">
        <v>1460.82</v>
      </c>
      <c r="J261" s="19" t="s">
        <v>68</v>
      </c>
      <c r="K261" s="4"/>
      <c r="L261" s="4"/>
      <c r="M261">
        <f t="shared" ref="M261:M324" si="4">MAX(D261:E261)</f>
        <v>3.2439999999999997E-2</v>
      </c>
    </row>
    <row r="262" spans="1:13" x14ac:dyDescent="0.3">
      <c r="A262" s="15"/>
      <c r="B262" s="1" t="s">
        <v>10</v>
      </c>
      <c r="C262" s="1">
        <v>238.63</v>
      </c>
      <c r="D262" s="29">
        <v>9.5065600000000003</v>
      </c>
      <c r="E262" s="4">
        <v>3.9260000000000003E-2</v>
      </c>
      <c r="G262" s="15"/>
      <c r="H262" s="1" t="s">
        <v>10</v>
      </c>
      <c r="I262" s="1">
        <v>238.63</v>
      </c>
      <c r="J262" s="4">
        <v>8.1364400000000003</v>
      </c>
      <c r="K262" s="4">
        <v>4.8660000000000002E-2</v>
      </c>
      <c r="L262" s="4">
        <v>4.8590000000000001E-2</v>
      </c>
      <c r="M262">
        <f t="shared" si="4"/>
        <v>9.5065600000000003</v>
      </c>
    </row>
    <row r="263" spans="1:13" x14ac:dyDescent="0.3">
      <c r="A263" s="15"/>
      <c r="B263" s="1" t="s">
        <v>11</v>
      </c>
      <c r="C263" s="1">
        <v>911.21</v>
      </c>
      <c r="D263" s="30">
        <v>1.97001</v>
      </c>
      <c r="E263" s="4">
        <v>1.409E-2</v>
      </c>
      <c r="G263" s="15"/>
      <c r="H263" s="1" t="s">
        <v>11</v>
      </c>
      <c r="I263" s="1">
        <v>911.21</v>
      </c>
      <c r="J263" s="4">
        <v>1.97001</v>
      </c>
      <c r="K263" s="4">
        <v>1.529E-2</v>
      </c>
      <c r="L263" s="4">
        <v>1.409E-2</v>
      </c>
      <c r="M263">
        <f t="shared" si="4"/>
        <v>1.97001</v>
      </c>
    </row>
    <row r="264" spans="1:13" x14ac:dyDescent="0.3">
      <c r="A264" s="15"/>
      <c r="B264" s="1"/>
      <c r="C264" s="1">
        <v>968.97</v>
      </c>
      <c r="D264" s="29">
        <v>1.15151</v>
      </c>
      <c r="E264" s="4">
        <v>1.3299999999999999E-2</v>
      </c>
      <c r="G264" s="15"/>
      <c r="H264" s="1"/>
      <c r="I264" s="1">
        <v>968.97</v>
      </c>
      <c r="J264" s="4">
        <v>1.1487700000000001</v>
      </c>
      <c r="K264" s="4">
        <v>1.231E-2</v>
      </c>
      <c r="L264" s="4">
        <v>1.4E-2</v>
      </c>
      <c r="M264">
        <f t="shared" si="4"/>
        <v>1.15151</v>
      </c>
    </row>
    <row r="265" spans="1:13" x14ac:dyDescent="0.3">
      <c r="A265" s="15"/>
      <c r="B265" s="1"/>
      <c r="C265" s="1">
        <v>338.32</v>
      </c>
      <c r="D265" s="30">
        <v>1.88035</v>
      </c>
      <c r="E265" s="4">
        <v>3.9399999999999998E-2</v>
      </c>
      <c r="G265" s="15"/>
      <c r="H265" s="1"/>
      <c r="I265" s="1">
        <v>338.32</v>
      </c>
      <c r="J265" s="4"/>
      <c r="K265" s="4"/>
      <c r="L265" s="4"/>
      <c r="M265">
        <f t="shared" si="4"/>
        <v>1.88035</v>
      </c>
    </row>
    <row r="266" spans="1:13" x14ac:dyDescent="0.3">
      <c r="A266" s="15"/>
      <c r="B266" s="1" t="s">
        <v>12</v>
      </c>
      <c r="C266" s="1">
        <v>2614.5300000000002</v>
      </c>
      <c r="D266" s="30">
        <v>0</v>
      </c>
      <c r="E266" s="5">
        <v>0</v>
      </c>
      <c r="G266" s="15"/>
      <c r="H266" s="1" t="s">
        <v>12</v>
      </c>
      <c r="I266" s="1">
        <v>2614.5300000000002</v>
      </c>
      <c r="J266" s="18" t="s">
        <v>72</v>
      </c>
      <c r="K266" s="4"/>
      <c r="L266" s="5"/>
      <c r="M266">
        <f t="shared" si="4"/>
        <v>0</v>
      </c>
    </row>
    <row r="267" spans="1:13" x14ac:dyDescent="0.3">
      <c r="A267" s="15"/>
      <c r="B267" s="1"/>
      <c r="C267" s="1">
        <v>583.19000000000005</v>
      </c>
      <c r="D267" s="30">
        <v>2.9296899999999999</v>
      </c>
      <c r="E267" s="4">
        <v>1.9220000000000001E-2</v>
      </c>
      <c r="G267" s="15"/>
      <c r="H267" s="1"/>
      <c r="I267" s="1">
        <v>583.19000000000005</v>
      </c>
      <c r="J267" s="4"/>
      <c r="K267" s="4"/>
      <c r="L267" s="4"/>
      <c r="M267">
        <f t="shared" si="4"/>
        <v>2.9296899999999999</v>
      </c>
    </row>
    <row r="268" spans="1:13" x14ac:dyDescent="0.3">
      <c r="A268" s="15"/>
      <c r="B268" s="1"/>
      <c r="C268" s="1">
        <v>510.77</v>
      </c>
      <c r="D268" s="29">
        <v>0.95806000000000002</v>
      </c>
      <c r="E268" s="4">
        <v>2.3349999999999999E-2</v>
      </c>
      <c r="G268" s="15"/>
      <c r="H268" s="1"/>
      <c r="I268" s="1">
        <v>510.77</v>
      </c>
      <c r="J268" s="18" t="s">
        <v>71</v>
      </c>
      <c r="K268" s="4"/>
      <c r="L268" s="4"/>
      <c r="M268">
        <f t="shared" si="4"/>
        <v>0.95806000000000002</v>
      </c>
    </row>
    <row r="269" spans="1:13" x14ac:dyDescent="0.3">
      <c r="A269" s="15"/>
      <c r="B269" s="1"/>
      <c r="C269" s="1">
        <v>860.56</v>
      </c>
      <c r="D269" s="30">
        <v>0.33964</v>
      </c>
      <c r="E269" s="4">
        <v>1.129E-2</v>
      </c>
      <c r="G269" s="15"/>
      <c r="H269" s="1"/>
      <c r="I269" s="1">
        <v>860.56</v>
      </c>
      <c r="J269" s="4"/>
      <c r="K269" s="5"/>
      <c r="L269" s="4"/>
      <c r="M269">
        <f t="shared" si="4"/>
        <v>0.33964</v>
      </c>
    </row>
    <row r="270" spans="1:13" x14ac:dyDescent="0.3">
      <c r="A270" s="21">
        <v>24</v>
      </c>
      <c r="B270" s="1" t="s">
        <v>7</v>
      </c>
      <c r="C270" s="1">
        <v>351.93</v>
      </c>
      <c r="D270" s="30">
        <v>1.92021</v>
      </c>
      <c r="E270" s="4">
        <v>1.8159999999999999E-2</v>
      </c>
      <c r="G270" s="21">
        <v>24</v>
      </c>
      <c r="H270" s="1" t="s">
        <v>7</v>
      </c>
      <c r="I270" s="1">
        <v>351.93</v>
      </c>
      <c r="J270" s="4"/>
      <c r="K270" s="4"/>
      <c r="L270" s="4"/>
      <c r="M270">
        <f t="shared" si="4"/>
        <v>1.92021</v>
      </c>
    </row>
    <row r="271" spans="1:13" x14ac:dyDescent="0.3">
      <c r="A271" s="15" t="s">
        <v>12</v>
      </c>
      <c r="B271" s="1"/>
      <c r="C271" s="1">
        <v>295.22000000000003</v>
      </c>
      <c r="D271" s="30">
        <v>1.13591</v>
      </c>
      <c r="E271" s="4">
        <v>3.0099999999999998E-2</v>
      </c>
      <c r="G271" s="15" t="s">
        <v>12</v>
      </c>
      <c r="H271" s="1"/>
      <c r="I271" s="1">
        <v>295.22000000000003</v>
      </c>
      <c r="J271" s="4"/>
      <c r="K271" s="4"/>
      <c r="L271" s="4"/>
      <c r="M271">
        <f t="shared" si="4"/>
        <v>1.13591</v>
      </c>
    </row>
    <row r="272" spans="1:13" x14ac:dyDescent="0.3">
      <c r="A272" s="15" t="s">
        <v>23</v>
      </c>
      <c r="B272" s="1" t="s">
        <v>8</v>
      </c>
      <c r="C272" s="1">
        <v>609.32000000000005</v>
      </c>
      <c r="D272" s="30">
        <v>1.3585700000000001</v>
      </c>
      <c r="E272" s="4">
        <v>1.244E-2</v>
      </c>
      <c r="G272" s="15" t="s">
        <v>23</v>
      </c>
      <c r="H272" s="1" t="s">
        <v>8</v>
      </c>
      <c r="I272" s="1">
        <v>609.32000000000005</v>
      </c>
      <c r="J272" s="4"/>
      <c r="K272" s="4"/>
      <c r="L272" s="4"/>
      <c r="M272">
        <f t="shared" si="4"/>
        <v>1.3585700000000001</v>
      </c>
    </row>
    <row r="273" spans="1:13" x14ac:dyDescent="0.3">
      <c r="A273" s="15" t="s">
        <v>24</v>
      </c>
      <c r="B273" s="1"/>
      <c r="C273" s="1">
        <v>1764.49</v>
      </c>
      <c r="D273" s="33">
        <v>0.21110999999999999</v>
      </c>
      <c r="E273" s="5">
        <v>4.6892899999999996E-3</v>
      </c>
      <c r="G273" s="15" t="s">
        <v>24</v>
      </c>
      <c r="H273" s="1"/>
      <c r="I273" s="1">
        <v>1764.49</v>
      </c>
      <c r="J273" s="4"/>
      <c r="K273" s="5"/>
      <c r="L273" s="5"/>
      <c r="M273">
        <f t="shared" si="4"/>
        <v>0.21110999999999999</v>
      </c>
    </row>
    <row r="274" spans="1:13" x14ac:dyDescent="0.3">
      <c r="A274" s="15" t="s">
        <v>25</v>
      </c>
      <c r="B274" s="1"/>
      <c r="C274" s="1">
        <v>1120.29</v>
      </c>
      <c r="D274" s="30">
        <v>0.27618999999999999</v>
      </c>
      <c r="E274" s="5">
        <v>6.7496700000000001E-3</v>
      </c>
      <c r="G274" s="15" t="s">
        <v>25</v>
      </c>
      <c r="H274" s="1"/>
      <c r="I274" s="1">
        <v>1120.29</v>
      </c>
      <c r="J274" s="4"/>
      <c r="K274" s="5"/>
      <c r="L274" s="5"/>
      <c r="M274">
        <f t="shared" si="4"/>
        <v>0.27618999999999999</v>
      </c>
    </row>
    <row r="275" spans="1:13" x14ac:dyDescent="0.3">
      <c r="A275" s="15"/>
      <c r="B275" s="1" t="s">
        <v>9</v>
      </c>
      <c r="C275" s="1">
        <v>1460.82</v>
      </c>
      <c r="D275" s="33">
        <v>3.3950000000000001E-2</v>
      </c>
      <c r="E275" s="5">
        <v>5.1903100000000001E-3</v>
      </c>
      <c r="G275" s="15"/>
      <c r="H275" s="1" t="s">
        <v>9</v>
      </c>
      <c r="I275" s="1">
        <v>1460.82</v>
      </c>
      <c r="J275" s="19" t="s">
        <v>74</v>
      </c>
      <c r="K275" s="4"/>
      <c r="L275" s="4"/>
      <c r="M275">
        <f t="shared" si="4"/>
        <v>3.3950000000000001E-2</v>
      </c>
    </row>
    <row r="276" spans="1:13" x14ac:dyDescent="0.3">
      <c r="A276" s="15"/>
      <c r="B276" s="1" t="s">
        <v>10</v>
      </c>
      <c r="C276" s="1">
        <v>238.63</v>
      </c>
      <c r="D276" s="29">
        <v>5.9152800000000001</v>
      </c>
      <c r="E276" s="4">
        <v>2.9919999999999999E-2</v>
      </c>
      <c r="G276" s="15"/>
      <c r="H276" s="1" t="s">
        <v>10</v>
      </c>
      <c r="I276" s="1">
        <v>238.63</v>
      </c>
      <c r="J276" s="18" t="s">
        <v>75</v>
      </c>
      <c r="K276" s="4"/>
      <c r="L276" s="4"/>
      <c r="M276">
        <f t="shared" si="4"/>
        <v>5.9152800000000001</v>
      </c>
    </row>
    <row r="277" spans="1:13" x14ac:dyDescent="0.3">
      <c r="A277" s="15"/>
      <c r="B277" s="1" t="s">
        <v>11</v>
      </c>
      <c r="C277" s="1">
        <v>911.21</v>
      </c>
      <c r="D277" s="30">
        <v>1.13243</v>
      </c>
      <c r="E277" s="4">
        <v>1.0529999999999999E-2</v>
      </c>
      <c r="G277" s="15"/>
      <c r="H277" s="1" t="s">
        <v>11</v>
      </c>
      <c r="I277" s="1">
        <v>911.21</v>
      </c>
      <c r="J277" s="4">
        <v>1.13243</v>
      </c>
      <c r="K277" s="4">
        <v>1.157E-2</v>
      </c>
      <c r="L277" s="4">
        <v>1.0529999999999999E-2</v>
      </c>
      <c r="M277">
        <f t="shared" si="4"/>
        <v>1.13243</v>
      </c>
    </row>
    <row r="278" spans="1:13" x14ac:dyDescent="0.3">
      <c r="A278" s="15"/>
      <c r="B278" s="1"/>
      <c r="C278" s="1">
        <v>968.97</v>
      </c>
      <c r="D278" s="30">
        <v>0.65405999999999997</v>
      </c>
      <c r="E278" s="5">
        <v>9.9431299999999997E-3</v>
      </c>
      <c r="G278" s="15"/>
      <c r="H278" s="1"/>
      <c r="I278" s="1">
        <v>968.97</v>
      </c>
      <c r="J278" s="4">
        <v>0.65405999999999997</v>
      </c>
      <c r="K278" s="5">
        <v>9.1356800000000002E-3</v>
      </c>
      <c r="L278" s="5">
        <v>9.9431299999999997E-3</v>
      </c>
      <c r="M278">
        <f t="shared" si="4"/>
        <v>0.65405999999999997</v>
      </c>
    </row>
    <row r="279" spans="1:13" x14ac:dyDescent="0.3">
      <c r="A279" s="15"/>
      <c r="B279" s="1"/>
      <c r="C279" s="1">
        <v>338.32</v>
      </c>
      <c r="D279" s="30">
        <v>1.14439</v>
      </c>
      <c r="E279" s="4">
        <v>2.878E-2</v>
      </c>
      <c r="G279" s="15"/>
      <c r="H279" s="1"/>
      <c r="I279" s="1">
        <v>338.32</v>
      </c>
      <c r="J279" s="4"/>
      <c r="K279" s="4"/>
      <c r="L279" s="4"/>
      <c r="M279">
        <f t="shared" si="4"/>
        <v>1.14439</v>
      </c>
    </row>
    <row r="280" spans="1:13" x14ac:dyDescent="0.3">
      <c r="A280" s="15"/>
      <c r="B280" s="1" t="s">
        <v>12</v>
      </c>
      <c r="C280" s="1">
        <v>2614.5300000000002</v>
      </c>
      <c r="D280" s="30">
        <v>0</v>
      </c>
      <c r="E280" s="5">
        <v>0</v>
      </c>
      <c r="G280" s="15"/>
      <c r="H280" s="1" t="s">
        <v>12</v>
      </c>
      <c r="I280" s="1">
        <v>2614.5300000000002</v>
      </c>
      <c r="J280" s="4">
        <v>0.56513000000000002</v>
      </c>
      <c r="K280" s="5">
        <v>7.5870399999999998E-3</v>
      </c>
      <c r="L280" s="5">
        <v>2.4415299999999999E-3</v>
      </c>
      <c r="M280">
        <f t="shared" si="4"/>
        <v>0</v>
      </c>
    </row>
    <row r="281" spans="1:13" x14ac:dyDescent="0.3">
      <c r="A281" s="15"/>
      <c r="B281" s="1"/>
      <c r="C281" s="1">
        <v>583.19000000000005</v>
      </c>
      <c r="D281" s="30">
        <v>1.7278800000000001</v>
      </c>
      <c r="E281" s="4">
        <v>1.337E-2</v>
      </c>
      <c r="G281" s="15"/>
      <c r="H281" s="1"/>
      <c r="I281" s="1">
        <v>583.19000000000005</v>
      </c>
      <c r="J281" s="4"/>
      <c r="K281" s="4"/>
      <c r="L281" s="4"/>
      <c r="M281">
        <f t="shared" si="4"/>
        <v>1.7278800000000001</v>
      </c>
    </row>
    <row r="282" spans="1:13" x14ac:dyDescent="0.3">
      <c r="A282" s="15"/>
      <c r="B282" s="1"/>
      <c r="C282" s="1">
        <v>510.77</v>
      </c>
      <c r="D282" s="30">
        <v>0.54161000000000004</v>
      </c>
      <c r="E282" s="4">
        <v>1.358E-2</v>
      </c>
      <c r="G282" s="15"/>
      <c r="H282" s="1"/>
      <c r="I282" s="1">
        <v>510.77</v>
      </c>
      <c r="J282" s="4">
        <v>0.54161000000000004</v>
      </c>
      <c r="K282" s="5">
        <v>9.5436400000000008E-3</v>
      </c>
      <c r="L282" s="4">
        <v>1.358E-2</v>
      </c>
      <c r="M282">
        <f t="shared" si="4"/>
        <v>0.54161000000000004</v>
      </c>
    </row>
    <row r="283" spans="1:13" x14ac:dyDescent="0.3">
      <c r="A283" s="15"/>
      <c r="B283" s="1"/>
      <c r="C283" s="1">
        <v>860.56</v>
      </c>
      <c r="D283" s="30">
        <v>0.19968</v>
      </c>
      <c r="E283" s="5">
        <v>7.4823299999999997E-3</v>
      </c>
      <c r="G283" s="15"/>
      <c r="H283" s="1"/>
      <c r="I283" s="1">
        <v>860.56</v>
      </c>
      <c r="J283" s="4">
        <v>0.19968</v>
      </c>
      <c r="K283" s="5">
        <v>5.5016099999999997E-3</v>
      </c>
      <c r="L283" s="5">
        <v>7.4823299999999997E-3</v>
      </c>
      <c r="M283">
        <f t="shared" si="4"/>
        <v>0.19968</v>
      </c>
    </row>
    <row r="284" spans="1:13" x14ac:dyDescent="0.3">
      <c r="A284" s="21">
        <v>25</v>
      </c>
      <c r="B284" s="1" t="s">
        <v>7</v>
      </c>
      <c r="C284" s="1">
        <v>351.93</v>
      </c>
      <c r="D284" s="30">
        <v>0.31877</v>
      </c>
      <c r="E284" s="5">
        <v>7.7921500000000003E-3</v>
      </c>
      <c r="G284" s="15"/>
      <c r="H284" s="1"/>
      <c r="I284" s="1"/>
      <c r="J284" s="4"/>
      <c r="K284" s="5"/>
      <c r="L284" s="5"/>
      <c r="M284">
        <f t="shared" si="4"/>
        <v>0.31877</v>
      </c>
    </row>
    <row r="285" spans="1:13" x14ac:dyDescent="0.3">
      <c r="A285" s="21"/>
      <c r="B285" s="1"/>
      <c r="C285" s="1">
        <v>295.22000000000003</v>
      </c>
      <c r="D285" s="30">
        <v>0.19262000000000001</v>
      </c>
      <c r="E285" s="5">
        <v>9.8299100000000007E-3</v>
      </c>
      <c r="G285" s="15"/>
      <c r="H285" s="1"/>
      <c r="I285" s="1"/>
      <c r="J285" s="4"/>
      <c r="K285" s="5"/>
      <c r="L285" s="5"/>
      <c r="M285">
        <f t="shared" si="4"/>
        <v>0.19262000000000001</v>
      </c>
    </row>
    <row r="286" spans="1:13" x14ac:dyDescent="0.3">
      <c r="A286" s="21"/>
      <c r="B286" s="1" t="s">
        <v>8</v>
      </c>
      <c r="C286" s="1">
        <v>609.32000000000005</v>
      </c>
      <c r="D286" s="30">
        <v>0.22109000000000001</v>
      </c>
      <c r="E286" s="5">
        <v>4.94335E-3</v>
      </c>
      <c r="G286" s="15"/>
      <c r="H286" s="1"/>
      <c r="I286" s="1"/>
      <c r="J286" s="4"/>
      <c r="K286" s="5"/>
      <c r="L286" s="5"/>
      <c r="M286">
        <f t="shared" si="4"/>
        <v>0.22109000000000001</v>
      </c>
    </row>
    <row r="287" spans="1:13" x14ac:dyDescent="0.3">
      <c r="A287" s="21"/>
      <c r="B287" s="1"/>
      <c r="C287" s="1">
        <v>1764.49</v>
      </c>
      <c r="D287" s="33">
        <v>3.5549999999999998E-2</v>
      </c>
      <c r="E287" s="7">
        <v>2.0823600000000001E-3</v>
      </c>
      <c r="G287" s="15"/>
      <c r="H287" s="1"/>
      <c r="I287" s="1"/>
      <c r="J287" s="1"/>
      <c r="K287" s="1"/>
      <c r="L287" s="1"/>
      <c r="M287">
        <f t="shared" si="4"/>
        <v>3.5549999999999998E-2</v>
      </c>
    </row>
    <row r="288" spans="1:13" x14ac:dyDescent="0.3">
      <c r="A288" s="21"/>
      <c r="B288" s="1"/>
      <c r="C288" s="1">
        <v>1120.29</v>
      </c>
      <c r="D288" s="30">
        <v>4.4740000000000002E-2</v>
      </c>
      <c r="E288" s="5">
        <v>3.28488E-3</v>
      </c>
      <c r="G288" s="15"/>
      <c r="H288" s="1"/>
      <c r="I288" s="1"/>
      <c r="J288" s="4"/>
      <c r="K288" s="5"/>
      <c r="L288" s="5"/>
      <c r="M288">
        <f t="shared" si="4"/>
        <v>4.4740000000000002E-2</v>
      </c>
    </row>
    <row r="289" spans="1:13" x14ac:dyDescent="0.3">
      <c r="A289" s="21"/>
      <c r="B289" s="1" t="s">
        <v>9</v>
      </c>
      <c r="C289" s="1">
        <v>1460.82</v>
      </c>
      <c r="D289" s="30">
        <v>1.6789999999999999E-2</v>
      </c>
      <c r="E289" s="5">
        <v>2.3901500000000002E-3</v>
      </c>
      <c r="G289" s="15"/>
      <c r="H289" s="1"/>
      <c r="I289" s="1"/>
      <c r="J289" s="4"/>
      <c r="K289" s="5"/>
      <c r="L289" s="5"/>
      <c r="M289">
        <f t="shared" si="4"/>
        <v>1.6789999999999999E-2</v>
      </c>
    </row>
    <row r="290" spans="1:13" x14ac:dyDescent="0.3">
      <c r="A290" s="21"/>
      <c r="B290" s="1" t="s">
        <v>10</v>
      </c>
      <c r="C290" s="1">
        <v>238.63</v>
      </c>
      <c r="D290" s="30">
        <v>0.91869000000000001</v>
      </c>
      <c r="E290" s="4">
        <v>1.2290000000000001E-2</v>
      </c>
      <c r="G290" s="15"/>
      <c r="H290" s="1"/>
      <c r="I290" s="1"/>
      <c r="J290" s="4"/>
      <c r="K290" s="4"/>
      <c r="L290" s="4"/>
      <c r="M290">
        <f t="shared" si="4"/>
        <v>0.91869000000000001</v>
      </c>
    </row>
    <row r="291" spans="1:13" x14ac:dyDescent="0.3">
      <c r="A291" s="21"/>
      <c r="B291" s="1" t="s">
        <v>11</v>
      </c>
      <c r="C291" s="1">
        <v>911.21</v>
      </c>
      <c r="D291" s="30">
        <v>0.16797000000000001</v>
      </c>
      <c r="E291" s="5">
        <v>3.4378899999999999E-3</v>
      </c>
      <c r="G291" s="15"/>
      <c r="H291" s="1"/>
      <c r="I291" s="1"/>
      <c r="J291" s="4"/>
      <c r="K291" s="5"/>
      <c r="L291" s="5"/>
      <c r="M291">
        <f t="shared" si="4"/>
        <v>0.16797000000000001</v>
      </c>
    </row>
    <row r="292" spans="1:13" x14ac:dyDescent="0.3">
      <c r="A292" s="21"/>
      <c r="B292" s="1"/>
      <c r="C292" s="1">
        <v>968.97</v>
      </c>
      <c r="D292" s="30">
        <v>9.4689999999999996E-2</v>
      </c>
      <c r="E292" s="5">
        <v>4.0793899999999996E-3</v>
      </c>
      <c r="G292" s="15"/>
      <c r="H292" s="1"/>
      <c r="I292" s="1"/>
      <c r="J292" s="4"/>
      <c r="K292" s="5"/>
      <c r="L292" s="5"/>
      <c r="M292">
        <f t="shared" si="4"/>
        <v>9.4689999999999996E-2</v>
      </c>
    </row>
    <row r="293" spans="1:13" x14ac:dyDescent="0.3">
      <c r="A293" s="21"/>
      <c r="B293" s="1"/>
      <c r="C293" s="1">
        <v>338.32</v>
      </c>
      <c r="D293" s="30">
        <v>0.17052</v>
      </c>
      <c r="E293" s="5">
        <v>7.5102500000000004E-3</v>
      </c>
      <c r="G293" s="15"/>
      <c r="H293" s="1"/>
      <c r="I293" s="1"/>
      <c r="J293" s="4"/>
      <c r="K293" s="5"/>
      <c r="L293" s="5"/>
      <c r="M293">
        <f t="shared" si="4"/>
        <v>0.17052</v>
      </c>
    </row>
    <row r="294" spans="1:13" x14ac:dyDescent="0.3">
      <c r="A294" s="21"/>
      <c r="B294" s="1" t="s">
        <v>12</v>
      </c>
      <c r="C294" s="1">
        <v>2614.5300000000002</v>
      </c>
      <c r="D294" s="30">
        <v>8.8999999999999996E-2</v>
      </c>
      <c r="E294" s="5">
        <v>1.4488599999999999E-3</v>
      </c>
      <c r="G294" s="15"/>
      <c r="H294" s="1"/>
      <c r="I294" s="1"/>
      <c r="J294" s="4"/>
      <c r="K294" s="5"/>
      <c r="L294" s="5"/>
      <c r="M294">
        <f t="shared" si="4"/>
        <v>8.8999999999999996E-2</v>
      </c>
    </row>
    <row r="295" spans="1:13" x14ac:dyDescent="0.3">
      <c r="A295" s="15"/>
      <c r="B295" s="1"/>
      <c r="C295" s="1">
        <v>583.19000000000005</v>
      </c>
      <c r="D295" s="30">
        <v>0.26450000000000001</v>
      </c>
      <c r="E295" s="5">
        <v>5.5613900000000003E-3</v>
      </c>
      <c r="G295" s="15"/>
      <c r="H295" s="1"/>
      <c r="I295" s="1"/>
      <c r="J295" s="4"/>
      <c r="K295" s="5"/>
      <c r="L295" s="5"/>
      <c r="M295">
        <f t="shared" si="4"/>
        <v>0.26450000000000001</v>
      </c>
    </row>
    <row r="296" spans="1:13" x14ac:dyDescent="0.3">
      <c r="A296" s="15"/>
      <c r="B296" s="1"/>
      <c r="C296" s="1">
        <v>510.77</v>
      </c>
      <c r="D296" s="30">
        <v>0.10242</v>
      </c>
      <c r="E296" s="5">
        <v>5.6134799999999997E-3</v>
      </c>
      <c r="G296" s="15"/>
      <c r="H296" s="1"/>
      <c r="I296" s="1"/>
      <c r="J296" s="4"/>
      <c r="K296" s="5"/>
      <c r="L296" s="5"/>
      <c r="M296">
        <f t="shared" si="4"/>
        <v>0.10242</v>
      </c>
    </row>
    <row r="297" spans="1:13" x14ac:dyDescent="0.3">
      <c r="A297" s="15"/>
      <c r="B297" s="1"/>
      <c r="C297" s="1">
        <v>860.56</v>
      </c>
      <c r="D297" s="30">
        <v>3.0759999999999999E-2</v>
      </c>
      <c r="E297" s="5">
        <v>3.73186E-3</v>
      </c>
      <c r="G297" s="15"/>
      <c r="H297" s="1"/>
      <c r="I297" s="1"/>
      <c r="J297" s="4"/>
      <c r="K297" s="5"/>
      <c r="L297" s="5"/>
      <c r="M297">
        <f t="shared" si="4"/>
        <v>3.0759999999999999E-2</v>
      </c>
    </row>
    <row r="298" spans="1:13" x14ac:dyDescent="0.3">
      <c r="A298" s="21">
        <v>26</v>
      </c>
      <c r="B298" s="1" t="s">
        <v>7</v>
      </c>
      <c r="C298" s="1">
        <v>351.93</v>
      </c>
      <c r="D298" s="33">
        <v>0.29369000000000001</v>
      </c>
      <c r="E298" s="5">
        <v>6.6466199999999998E-3</v>
      </c>
      <c r="M298">
        <f t="shared" si="4"/>
        <v>0.29369000000000001</v>
      </c>
    </row>
    <row r="299" spans="1:13" x14ac:dyDescent="0.3">
      <c r="A299" s="15"/>
      <c r="B299" s="1"/>
      <c r="C299" s="1">
        <v>295.22000000000003</v>
      </c>
      <c r="D299" s="29">
        <v>0.17172999999999999</v>
      </c>
      <c r="E299" s="5">
        <v>9.6360300000000003E-3</v>
      </c>
      <c r="M299">
        <f t="shared" si="4"/>
        <v>0.17172999999999999</v>
      </c>
    </row>
    <row r="300" spans="1:13" x14ac:dyDescent="0.3">
      <c r="A300" s="15"/>
      <c r="B300" s="1" t="s">
        <v>8</v>
      </c>
      <c r="C300" s="1">
        <v>609.32000000000005</v>
      </c>
      <c r="D300" s="30">
        <v>0.21057999999999999</v>
      </c>
      <c r="E300" s="5">
        <v>5.2946800000000004E-3</v>
      </c>
      <c r="M300">
        <f t="shared" si="4"/>
        <v>0.21057999999999999</v>
      </c>
    </row>
    <row r="301" spans="1:13" x14ac:dyDescent="0.3">
      <c r="A301" s="15"/>
      <c r="B301" s="1"/>
      <c r="C301" s="1">
        <v>1764.49</v>
      </c>
      <c r="D301" s="30">
        <v>3.09E-2</v>
      </c>
      <c r="E301" s="5">
        <v>2.2828100000000001E-3</v>
      </c>
      <c r="M301">
        <f t="shared" si="4"/>
        <v>3.09E-2</v>
      </c>
    </row>
    <row r="302" spans="1:13" x14ac:dyDescent="0.3">
      <c r="A302" s="15"/>
      <c r="B302" s="22"/>
      <c r="C302" s="1">
        <v>1120.29</v>
      </c>
      <c r="D302" s="30">
        <v>3.8580000000000003E-2</v>
      </c>
      <c r="E302" s="5">
        <v>3.0615999999999998E-3</v>
      </c>
      <c r="M302">
        <f t="shared" si="4"/>
        <v>3.8580000000000003E-2</v>
      </c>
    </row>
    <row r="303" spans="1:13" x14ac:dyDescent="0.3">
      <c r="A303" s="15"/>
      <c r="B303" s="1" t="s">
        <v>9</v>
      </c>
      <c r="C303" s="1">
        <v>1460.82</v>
      </c>
      <c r="D303" s="29">
        <v>1.67E-2</v>
      </c>
      <c r="E303" s="5">
        <v>2.3281500000000002E-3</v>
      </c>
      <c r="M303">
        <f t="shared" si="4"/>
        <v>1.67E-2</v>
      </c>
    </row>
    <row r="304" spans="1:13" x14ac:dyDescent="0.3">
      <c r="A304" s="15"/>
      <c r="B304" s="1" t="s">
        <v>10</v>
      </c>
      <c r="C304" s="1">
        <v>238.63</v>
      </c>
      <c r="D304" s="30">
        <v>0.86804999999999999</v>
      </c>
      <c r="E304" s="4">
        <v>1.106E-2</v>
      </c>
      <c r="M304">
        <f t="shared" si="4"/>
        <v>0.86804999999999999</v>
      </c>
    </row>
    <row r="305" spans="1:13" x14ac:dyDescent="0.3">
      <c r="A305" s="15"/>
      <c r="B305" s="1" t="s">
        <v>11</v>
      </c>
      <c r="C305" s="1">
        <v>911.21</v>
      </c>
      <c r="D305" s="29">
        <v>0.15597</v>
      </c>
      <c r="E305" s="5">
        <v>4.3354099999999996E-3</v>
      </c>
      <c r="M305">
        <f t="shared" si="4"/>
        <v>0.15597</v>
      </c>
    </row>
    <row r="306" spans="1:13" x14ac:dyDescent="0.3">
      <c r="A306" s="15"/>
      <c r="B306" s="1"/>
      <c r="C306" s="1">
        <v>968.97</v>
      </c>
      <c r="D306" s="30">
        <v>9.1740000000000002E-2</v>
      </c>
      <c r="E306" s="5">
        <v>4.2300200000000001E-3</v>
      </c>
      <c r="M306">
        <f t="shared" si="4"/>
        <v>9.1740000000000002E-2</v>
      </c>
    </row>
    <row r="307" spans="1:13" x14ac:dyDescent="0.3">
      <c r="A307" s="15"/>
      <c r="B307" s="1"/>
      <c r="C307" s="1">
        <v>338.32</v>
      </c>
      <c r="D307" s="30">
        <v>0.16497000000000001</v>
      </c>
      <c r="E307" s="5">
        <v>7.8613199999999998E-3</v>
      </c>
      <c r="M307">
        <f t="shared" si="4"/>
        <v>0.16497000000000001</v>
      </c>
    </row>
    <row r="308" spans="1:13" x14ac:dyDescent="0.3">
      <c r="A308" s="15"/>
      <c r="B308" s="1" t="s">
        <v>12</v>
      </c>
      <c r="C308" s="1">
        <v>2614.5300000000002</v>
      </c>
      <c r="D308" s="29">
        <v>8.4699999999999998E-2</v>
      </c>
      <c r="E308" s="7">
        <v>9.4840400000000002E-4</v>
      </c>
      <c r="M308">
        <f t="shared" si="4"/>
        <v>8.4699999999999998E-2</v>
      </c>
    </row>
    <row r="309" spans="1:13" x14ac:dyDescent="0.3">
      <c r="A309" s="15"/>
      <c r="B309" s="1"/>
      <c r="C309" s="1">
        <v>583.19000000000005</v>
      </c>
      <c r="D309" s="30">
        <v>0.25091000000000002</v>
      </c>
      <c r="E309" s="5">
        <v>5.2173200000000001E-3</v>
      </c>
      <c r="M309">
        <f t="shared" si="4"/>
        <v>0.25091000000000002</v>
      </c>
    </row>
    <row r="310" spans="1:13" x14ac:dyDescent="0.3">
      <c r="A310" s="15"/>
      <c r="B310" s="1"/>
      <c r="C310" s="1">
        <v>510.77</v>
      </c>
      <c r="D310" s="29">
        <v>9.7720000000000001E-2</v>
      </c>
      <c r="E310" s="5">
        <v>5.7307699999999996E-3</v>
      </c>
      <c r="M310">
        <f t="shared" si="4"/>
        <v>9.7720000000000001E-2</v>
      </c>
    </row>
    <row r="311" spans="1:13" x14ac:dyDescent="0.3">
      <c r="A311" s="15"/>
      <c r="B311" s="1"/>
      <c r="C311" s="1">
        <v>860.56</v>
      </c>
      <c r="D311" s="30">
        <v>2.9409999999999999E-2</v>
      </c>
      <c r="E311" s="5">
        <v>3.7192200000000001E-3</v>
      </c>
      <c r="M311">
        <f t="shared" si="4"/>
        <v>2.9409999999999999E-2</v>
      </c>
    </row>
    <row r="312" spans="1:13" x14ac:dyDescent="0.3">
      <c r="A312" s="15">
        <v>27</v>
      </c>
      <c r="B312" s="1" t="s">
        <v>7</v>
      </c>
      <c r="C312" s="1">
        <v>351.93</v>
      </c>
      <c r="D312" s="30">
        <v>0.68318999999999996</v>
      </c>
      <c r="E312" s="4">
        <v>1.1129999999999999E-2</v>
      </c>
      <c r="M312">
        <f t="shared" si="4"/>
        <v>0.68318999999999996</v>
      </c>
    </row>
    <row r="313" spans="1:13" x14ac:dyDescent="0.3">
      <c r="A313" s="15"/>
      <c r="B313" s="1"/>
      <c r="C313" s="1">
        <v>295.22000000000003</v>
      </c>
      <c r="D313" s="30">
        <v>0.40194000000000002</v>
      </c>
      <c r="E313" s="4">
        <v>1.438E-2</v>
      </c>
      <c r="M313">
        <f t="shared" si="4"/>
        <v>0.40194000000000002</v>
      </c>
    </row>
    <row r="314" spans="1:13" x14ac:dyDescent="0.3">
      <c r="A314" s="15"/>
      <c r="B314" s="1" t="s">
        <v>8</v>
      </c>
      <c r="C314" s="1">
        <v>609.32000000000005</v>
      </c>
      <c r="D314" s="30">
        <v>0.47633999999999999</v>
      </c>
      <c r="E314" s="5">
        <v>8.0556499999999993E-3</v>
      </c>
      <c r="M314">
        <f t="shared" si="4"/>
        <v>0.47633999999999999</v>
      </c>
    </row>
    <row r="315" spans="1:13" x14ac:dyDescent="0.3">
      <c r="A315" s="15"/>
      <c r="B315" s="1"/>
      <c r="C315" s="1">
        <v>1764.49</v>
      </c>
      <c r="D315" s="30">
        <v>7.0529999999999995E-2</v>
      </c>
      <c r="E315" s="5">
        <v>3.0389100000000001E-3</v>
      </c>
      <c r="M315">
        <f t="shared" si="4"/>
        <v>7.0529999999999995E-2</v>
      </c>
    </row>
    <row r="316" spans="1:13" x14ac:dyDescent="0.3">
      <c r="A316" s="15"/>
      <c r="B316" s="1"/>
      <c r="C316" s="1">
        <v>1120.29</v>
      </c>
      <c r="D316" s="30">
        <v>9.3310000000000004E-2</v>
      </c>
      <c r="E316" s="5">
        <v>4.2148200000000002E-3</v>
      </c>
      <c r="M316">
        <f t="shared" si="4"/>
        <v>9.3310000000000004E-2</v>
      </c>
    </row>
    <row r="317" spans="1:13" x14ac:dyDescent="0.3">
      <c r="A317" s="15"/>
      <c r="B317" s="1" t="s">
        <v>9</v>
      </c>
      <c r="C317" s="1">
        <v>1460.82</v>
      </c>
      <c r="D317" s="30">
        <v>1.29E-2</v>
      </c>
      <c r="E317" s="5">
        <v>3.31453E-3</v>
      </c>
      <c r="M317">
        <f t="shared" si="4"/>
        <v>1.29E-2</v>
      </c>
    </row>
    <row r="318" spans="1:13" x14ac:dyDescent="0.3">
      <c r="A318" s="15"/>
      <c r="B318" s="1" t="s">
        <v>10</v>
      </c>
      <c r="C318" s="1">
        <v>238.63</v>
      </c>
      <c r="D318" s="30">
        <v>2.1761900000000001</v>
      </c>
      <c r="E318" s="4">
        <v>2.2110000000000001E-2</v>
      </c>
      <c r="M318">
        <f t="shared" si="4"/>
        <v>2.1761900000000001</v>
      </c>
    </row>
    <row r="319" spans="1:13" x14ac:dyDescent="0.3">
      <c r="A319" s="15"/>
      <c r="B319" s="1" t="s">
        <v>11</v>
      </c>
      <c r="C319" s="1">
        <v>911.21</v>
      </c>
      <c r="D319" s="30">
        <v>0.44834000000000002</v>
      </c>
      <c r="E319" s="5">
        <v>5.3310099999999997E-3</v>
      </c>
      <c r="M319">
        <f t="shared" si="4"/>
        <v>0.44834000000000002</v>
      </c>
    </row>
    <row r="320" spans="1:13" x14ac:dyDescent="0.3">
      <c r="A320" s="15"/>
      <c r="B320" s="1"/>
      <c r="C320" s="1">
        <v>968.97</v>
      </c>
      <c r="D320" s="30">
        <v>0.26368999999999998</v>
      </c>
      <c r="E320" s="5">
        <v>5.8528900000000003E-3</v>
      </c>
      <c r="M320">
        <f t="shared" si="4"/>
        <v>0.26368999999999998</v>
      </c>
    </row>
    <row r="321" spans="1:13" x14ac:dyDescent="0.3">
      <c r="A321" s="15"/>
      <c r="B321" s="1"/>
      <c r="C321" s="1">
        <v>338.32</v>
      </c>
      <c r="D321" s="30">
        <v>0.47669</v>
      </c>
      <c r="E321" s="4">
        <v>1.6920000000000001E-2</v>
      </c>
      <c r="M321">
        <f t="shared" si="4"/>
        <v>0.47669</v>
      </c>
    </row>
    <row r="322" spans="1:13" x14ac:dyDescent="0.3">
      <c r="A322" s="15"/>
      <c r="B322" s="1" t="s">
        <v>12</v>
      </c>
      <c r="C322" s="1">
        <v>2614.5300000000002</v>
      </c>
      <c r="D322" s="30">
        <v>0.22566</v>
      </c>
      <c r="E322" s="6">
        <v>1.6667699999999999E-3</v>
      </c>
      <c r="M322">
        <f t="shared" si="4"/>
        <v>0.22566</v>
      </c>
    </row>
    <row r="323" spans="1:13" x14ac:dyDescent="0.3">
      <c r="A323" s="15"/>
      <c r="B323" s="1"/>
      <c r="C323" s="1">
        <v>583.19000000000005</v>
      </c>
      <c r="D323" s="30">
        <v>0.68293999999999999</v>
      </c>
      <c r="E323" s="5">
        <v>8.5406000000000006E-3</v>
      </c>
      <c r="M323">
        <f t="shared" si="4"/>
        <v>0.68293999999999999</v>
      </c>
    </row>
    <row r="324" spans="1:13" x14ac:dyDescent="0.3">
      <c r="A324" s="15"/>
      <c r="B324" s="1"/>
      <c r="C324" s="1">
        <v>510.77</v>
      </c>
      <c r="D324" s="30">
        <v>0.22264</v>
      </c>
      <c r="E324" s="5">
        <v>8.9575000000000002E-3</v>
      </c>
      <c r="M324">
        <f t="shared" si="4"/>
        <v>0.22264</v>
      </c>
    </row>
    <row r="325" spans="1:13" x14ac:dyDescent="0.3">
      <c r="A325" s="15"/>
      <c r="B325" s="1"/>
      <c r="C325" s="1">
        <v>860.56</v>
      </c>
      <c r="D325" s="30">
        <v>7.9119999999999996E-2</v>
      </c>
      <c r="E325" s="5">
        <v>4.9029399999999997E-3</v>
      </c>
      <c r="M325">
        <f t="shared" ref="M325:M388" si="5">MAX(D325:E325)</f>
        <v>7.9119999999999996E-2</v>
      </c>
    </row>
    <row r="326" spans="1:13" x14ac:dyDescent="0.3">
      <c r="A326" s="21">
        <v>28</v>
      </c>
      <c r="B326" s="1" t="s">
        <v>7</v>
      </c>
      <c r="C326" s="1">
        <v>351.93</v>
      </c>
      <c r="D326" s="30">
        <v>5.8630000000000002E-2</v>
      </c>
      <c r="E326" s="5">
        <v>4.50915E-3</v>
      </c>
      <c r="M326">
        <f t="shared" si="5"/>
        <v>5.8630000000000002E-2</v>
      </c>
    </row>
    <row r="327" spans="1:13" x14ac:dyDescent="0.3">
      <c r="A327" s="15"/>
      <c r="B327" s="1"/>
      <c r="C327" s="1">
        <v>295.22000000000003</v>
      </c>
      <c r="D327" s="30">
        <v>3.5990000000000001E-2</v>
      </c>
      <c r="E327" s="5">
        <v>5.4212799999999997E-3</v>
      </c>
      <c r="M327">
        <f t="shared" si="5"/>
        <v>3.5990000000000001E-2</v>
      </c>
    </row>
    <row r="328" spans="1:13" x14ac:dyDescent="0.3">
      <c r="A328" s="15"/>
      <c r="B328" s="1" t="s">
        <v>8</v>
      </c>
      <c r="C328" s="1">
        <v>609.32000000000005</v>
      </c>
      <c r="D328" s="30">
        <v>4.3549999999999998E-2</v>
      </c>
      <c r="E328" s="5">
        <v>3.1590500000000001E-3</v>
      </c>
      <c r="M328">
        <f t="shared" si="5"/>
        <v>4.3549999999999998E-2</v>
      </c>
    </row>
    <row r="329" spans="1:13" x14ac:dyDescent="0.3">
      <c r="A329" s="15"/>
      <c r="B329" s="1"/>
      <c r="C329" s="1">
        <v>1764.49</v>
      </c>
      <c r="D329" s="34">
        <v>7.4739972300000004E-3</v>
      </c>
      <c r="E329" s="7">
        <v>1.23084E-3</v>
      </c>
      <c r="M329">
        <f t="shared" si="5"/>
        <v>7.4739972300000004E-3</v>
      </c>
    </row>
    <row r="330" spans="1:13" x14ac:dyDescent="0.3">
      <c r="A330" s="15"/>
      <c r="B330" s="1"/>
      <c r="C330" s="1">
        <v>1120.29</v>
      </c>
      <c r="D330" s="35">
        <v>8.3999459800000002E-3</v>
      </c>
      <c r="E330" s="7">
        <v>1.9305699999999999E-3</v>
      </c>
      <c r="M330">
        <f t="shared" si="5"/>
        <v>8.3999459800000002E-3</v>
      </c>
    </row>
    <row r="331" spans="1:13" x14ac:dyDescent="0.3">
      <c r="A331" s="15"/>
      <c r="B331" s="1" t="s">
        <v>9</v>
      </c>
      <c r="C331" s="1">
        <v>1460.82</v>
      </c>
      <c r="D331" s="34">
        <v>6.1259158999999999E-3</v>
      </c>
      <c r="E331" s="7">
        <v>1.5313E-3</v>
      </c>
      <c r="M331">
        <f t="shared" si="5"/>
        <v>6.1259158999999999E-3</v>
      </c>
    </row>
    <row r="332" spans="1:13" x14ac:dyDescent="0.3">
      <c r="A332" s="15"/>
      <c r="B332" s="1" t="s">
        <v>10</v>
      </c>
      <c r="C332" s="1">
        <v>238.63</v>
      </c>
      <c r="D332" s="30">
        <v>0.18329000000000001</v>
      </c>
      <c r="E332" s="5">
        <v>6.5006999999999999E-3</v>
      </c>
      <c r="M332">
        <f t="shared" si="5"/>
        <v>0.18329000000000001</v>
      </c>
    </row>
    <row r="333" spans="1:13" x14ac:dyDescent="0.3">
      <c r="A333" s="15"/>
      <c r="B333" s="1" t="s">
        <v>11</v>
      </c>
      <c r="C333" s="1">
        <v>911.21</v>
      </c>
      <c r="D333" s="29">
        <v>4.129E-2</v>
      </c>
      <c r="E333" s="5">
        <v>2.1646199999999999E-3</v>
      </c>
      <c r="M333">
        <f t="shared" si="5"/>
        <v>4.129E-2</v>
      </c>
    </row>
    <row r="334" spans="1:13" x14ac:dyDescent="0.3">
      <c r="A334" s="15"/>
      <c r="B334" s="1"/>
      <c r="C334" s="1">
        <v>968.97</v>
      </c>
      <c r="D334" s="29">
        <v>2.2780000000000002E-2</v>
      </c>
      <c r="E334" s="5">
        <v>2.64423E-3</v>
      </c>
      <c r="M334">
        <f t="shared" si="5"/>
        <v>2.2780000000000002E-2</v>
      </c>
    </row>
    <row r="335" spans="1:13" x14ac:dyDescent="0.3">
      <c r="A335" s="15"/>
      <c r="B335" s="1"/>
      <c r="C335" s="1">
        <v>338.32</v>
      </c>
      <c r="D335" s="30">
        <v>3.669E-2</v>
      </c>
      <c r="E335" s="5">
        <v>4.5362299999999996E-3</v>
      </c>
      <c r="M335">
        <f t="shared" si="5"/>
        <v>3.669E-2</v>
      </c>
    </row>
    <row r="336" spans="1:13" x14ac:dyDescent="0.3">
      <c r="A336" s="15"/>
      <c r="B336" s="1" t="s">
        <v>12</v>
      </c>
      <c r="C336" s="1">
        <v>2614.5300000000002</v>
      </c>
      <c r="D336" s="29">
        <v>2.4219999999999998E-2</v>
      </c>
      <c r="E336" s="7">
        <v>1.14006E-3</v>
      </c>
      <c r="M336">
        <f t="shared" si="5"/>
        <v>2.4219999999999998E-2</v>
      </c>
    </row>
    <row r="337" spans="1:13" x14ac:dyDescent="0.3">
      <c r="A337" s="15"/>
      <c r="B337" s="1"/>
      <c r="C337" s="1">
        <v>583.19000000000005</v>
      </c>
      <c r="D337" s="29">
        <v>5.7880000000000001E-2</v>
      </c>
      <c r="E337" s="5">
        <v>3.2233100000000001E-3</v>
      </c>
      <c r="M337">
        <f t="shared" si="5"/>
        <v>5.7880000000000001E-2</v>
      </c>
    </row>
    <row r="338" spans="1:13" x14ac:dyDescent="0.3">
      <c r="A338" s="15"/>
      <c r="B338" s="1"/>
      <c r="C338" s="1">
        <v>510.77</v>
      </c>
      <c r="D338" s="30">
        <v>3.8379999999999997E-2</v>
      </c>
      <c r="E338" s="5">
        <v>3.6263300000000001E-3</v>
      </c>
      <c r="M338">
        <f t="shared" si="5"/>
        <v>3.8379999999999997E-2</v>
      </c>
    </row>
    <row r="339" spans="1:13" x14ac:dyDescent="0.3">
      <c r="A339" s="15"/>
      <c r="B339" s="1"/>
      <c r="C339" s="1">
        <v>860.56</v>
      </c>
      <c r="D339" s="31">
        <v>6.05539975E-3</v>
      </c>
      <c r="E339" s="5">
        <v>2.1419199999999998E-3</v>
      </c>
      <c r="M339">
        <f t="shared" si="5"/>
        <v>6.05539975E-3</v>
      </c>
    </row>
    <row r="340" spans="1:13" x14ac:dyDescent="0.3">
      <c r="A340" s="21">
        <v>30</v>
      </c>
      <c r="B340" s="1" t="s">
        <v>7</v>
      </c>
      <c r="C340" s="1">
        <v>351.93</v>
      </c>
      <c r="D340" s="29">
        <v>2.1870000000000001E-2</v>
      </c>
      <c r="E340" s="5">
        <v>2.6512300000000001E-3</v>
      </c>
      <c r="M340">
        <f t="shared" si="5"/>
        <v>2.1870000000000001E-2</v>
      </c>
    </row>
    <row r="341" spans="1:13" x14ac:dyDescent="0.3">
      <c r="A341" s="15"/>
      <c r="B341" s="1"/>
      <c r="C341" s="1">
        <v>295.22000000000003</v>
      </c>
      <c r="D341" s="30">
        <v>1.221E-2</v>
      </c>
      <c r="E341" s="5">
        <v>3.1429600000000002E-3</v>
      </c>
      <c r="M341">
        <f t="shared" si="5"/>
        <v>1.221E-2</v>
      </c>
    </row>
    <row r="342" spans="1:13" x14ac:dyDescent="0.3">
      <c r="A342" s="15"/>
      <c r="B342" s="1" t="s">
        <v>8</v>
      </c>
      <c r="C342" s="1">
        <v>609.32000000000005</v>
      </c>
      <c r="D342" s="33">
        <v>1.67E-2</v>
      </c>
      <c r="E342" s="7">
        <v>2.1375600000000002E-3</v>
      </c>
      <c r="M342">
        <f t="shared" si="5"/>
        <v>1.67E-2</v>
      </c>
    </row>
    <row r="343" spans="1:13" x14ac:dyDescent="0.3">
      <c r="A343" s="15"/>
      <c r="B343" s="1"/>
      <c r="C343" s="1">
        <v>1764.49</v>
      </c>
      <c r="D343" s="34">
        <v>1.6570656500000001E-3</v>
      </c>
      <c r="E343" s="7">
        <v>1.23857E-3</v>
      </c>
      <c r="M343">
        <f t="shared" si="5"/>
        <v>1.6570656500000001E-3</v>
      </c>
    </row>
    <row r="344" spans="1:13" x14ac:dyDescent="0.3">
      <c r="A344" s="15"/>
      <c r="B344" s="1"/>
      <c r="C344" s="1">
        <v>1120.29</v>
      </c>
      <c r="D344" s="35">
        <v>2.0140914699999998E-3</v>
      </c>
      <c r="E344" s="7">
        <v>1.3827900000000001E-3</v>
      </c>
      <c r="M344">
        <f t="shared" si="5"/>
        <v>2.0140914699999998E-3</v>
      </c>
    </row>
    <row r="345" spans="1:13" x14ac:dyDescent="0.3">
      <c r="A345" s="15"/>
      <c r="B345" s="1" t="s">
        <v>9</v>
      </c>
      <c r="C345" s="1">
        <v>1460.82</v>
      </c>
      <c r="D345" s="35">
        <v>6.3933971099999999E-3</v>
      </c>
      <c r="E345" s="7">
        <v>1.34716E-3</v>
      </c>
      <c r="M345">
        <f t="shared" si="5"/>
        <v>6.3933971099999999E-3</v>
      </c>
    </row>
    <row r="346" spans="1:13" x14ac:dyDescent="0.3">
      <c r="A346" s="15"/>
      <c r="B346" s="1" t="s">
        <v>10</v>
      </c>
      <c r="C346" s="1">
        <v>238.63</v>
      </c>
      <c r="D346" s="30">
        <v>3.2640000000000002E-2</v>
      </c>
      <c r="E346" s="5">
        <v>4.3367299999999996E-3</v>
      </c>
      <c r="M346">
        <f t="shared" si="5"/>
        <v>3.2640000000000002E-2</v>
      </c>
    </row>
    <row r="347" spans="1:13" x14ac:dyDescent="0.3">
      <c r="A347" s="15"/>
      <c r="B347" s="1" t="s">
        <v>11</v>
      </c>
      <c r="C347" s="1">
        <v>911.21</v>
      </c>
      <c r="D347" s="34">
        <v>5.6636290699999996E-3</v>
      </c>
      <c r="E347" s="7">
        <v>1.83172E-3</v>
      </c>
      <c r="M347">
        <f t="shared" si="5"/>
        <v>5.6636290699999996E-3</v>
      </c>
    </row>
    <row r="348" spans="1:13" x14ac:dyDescent="0.3">
      <c r="A348" s="15"/>
      <c r="B348" s="1"/>
      <c r="C348" s="1">
        <v>968.97</v>
      </c>
      <c r="D348" s="34">
        <v>3.9830969599999998E-3</v>
      </c>
      <c r="E348" s="7">
        <v>2.1271900000000002E-3</v>
      </c>
      <c r="M348">
        <f t="shared" si="5"/>
        <v>3.9830969599999998E-3</v>
      </c>
    </row>
    <row r="349" spans="1:13" x14ac:dyDescent="0.3">
      <c r="A349" s="15"/>
      <c r="B349" s="1"/>
      <c r="C349" s="1">
        <v>338.32</v>
      </c>
      <c r="D349" s="31">
        <v>4.4514955200000003E-3</v>
      </c>
      <c r="E349" s="5">
        <v>2.6529700000000002E-3</v>
      </c>
      <c r="M349">
        <f t="shared" si="5"/>
        <v>4.4514955200000003E-3</v>
      </c>
    </row>
    <row r="350" spans="1:13" x14ac:dyDescent="0.3">
      <c r="A350" s="15"/>
      <c r="B350" s="1" t="s">
        <v>12</v>
      </c>
      <c r="C350" s="1">
        <v>2614.5300000000002</v>
      </c>
      <c r="D350" s="34">
        <v>7.8228218499999998E-3</v>
      </c>
      <c r="E350" s="7">
        <v>1.01739E-3</v>
      </c>
      <c r="M350">
        <f t="shared" si="5"/>
        <v>7.8228218499999998E-3</v>
      </c>
    </row>
    <row r="351" spans="1:13" x14ac:dyDescent="0.3">
      <c r="A351" s="15"/>
      <c r="B351" s="1"/>
      <c r="C351" s="1">
        <v>583.19000000000005</v>
      </c>
      <c r="D351" s="30">
        <v>1.1169999999999999E-2</v>
      </c>
      <c r="E351" s="5">
        <v>2.1902699999999998E-3</v>
      </c>
      <c r="M351">
        <f t="shared" si="5"/>
        <v>1.1169999999999999E-2</v>
      </c>
    </row>
    <row r="352" spans="1:13" x14ac:dyDescent="0.3">
      <c r="A352" s="15"/>
      <c r="B352" s="1"/>
      <c r="C352" s="1">
        <v>510.77</v>
      </c>
      <c r="D352" s="29">
        <v>1.9550000000000001E-2</v>
      </c>
      <c r="E352" s="7">
        <v>2.9113300000000002E-3</v>
      </c>
      <c r="M352">
        <f t="shared" si="5"/>
        <v>1.9550000000000001E-2</v>
      </c>
    </row>
    <row r="353" spans="1:13" x14ac:dyDescent="0.3">
      <c r="A353" s="15"/>
      <c r="B353" s="22"/>
      <c r="C353" s="1">
        <v>860.56</v>
      </c>
      <c r="D353" s="1">
        <v>0</v>
      </c>
      <c r="E353" s="1">
        <v>0</v>
      </c>
      <c r="M353">
        <f t="shared" si="5"/>
        <v>0</v>
      </c>
    </row>
    <row r="354" spans="1:13" x14ac:dyDescent="0.3">
      <c r="A354" s="21">
        <v>31</v>
      </c>
      <c r="B354" s="1" t="s">
        <v>7</v>
      </c>
      <c r="C354" s="1">
        <v>351.93</v>
      </c>
      <c r="D354" s="30">
        <v>2.487E-2</v>
      </c>
      <c r="E354" s="5">
        <v>3.0080200000000001E-3</v>
      </c>
      <c r="M354">
        <f t="shared" si="5"/>
        <v>2.487E-2</v>
      </c>
    </row>
    <row r="355" spans="1:13" x14ac:dyDescent="0.3">
      <c r="A355" s="15"/>
      <c r="B355" s="1"/>
      <c r="C355" s="1">
        <v>295.22000000000003</v>
      </c>
      <c r="D355" s="33">
        <v>1.6369999999999999E-2</v>
      </c>
      <c r="E355" s="5">
        <v>4.2465100000000002E-3</v>
      </c>
      <c r="M355">
        <f t="shared" si="5"/>
        <v>1.6369999999999999E-2</v>
      </c>
    </row>
    <row r="356" spans="1:13" x14ac:dyDescent="0.3">
      <c r="A356" s="15"/>
      <c r="B356" s="1" t="s">
        <v>8</v>
      </c>
      <c r="C356" s="1">
        <v>609.32000000000005</v>
      </c>
      <c r="D356" s="30">
        <v>1.7500000000000002E-2</v>
      </c>
      <c r="E356" s="5">
        <v>2.5732400000000001E-3</v>
      </c>
      <c r="M356">
        <f t="shared" si="5"/>
        <v>1.7500000000000002E-2</v>
      </c>
    </row>
    <row r="357" spans="1:13" x14ac:dyDescent="0.3">
      <c r="A357" s="15"/>
      <c r="B357" s="1"/>
      <c r="C357" s="1">
        <v>1764.49</v>
      </c>
      <c r="D357" s="34">
        <v>3.5727582699999999E-3</v>
      </c>
      <c r="E357" s="7">
        <v>1.01263E-3</v>
      </c>
      <c r="M357">
        <f t="shared" si="5"/>
        <v>3.5727582699999999E-3</v>
      </c>
    </row>
    <row r="358" spans="1:13" x14ac:dyDescent="0.3">
      <c r="A358" s="15"/>
      <c r="B358" s="1"/>
      <c r="C358" s="1">
        <v>1120.29</v>
      </c>
      <c r="D358" s="34">
        <v>3.7686860400000001E-3</v>
      </c>
      <c r="E358" s="7">
        <v>1.49226E-3</v>
      </c>
      <c r="M358">
        <f t="shared" si="5"/>
        <v>3.7686860400000001E-3</v>
      </c>
    </row>
    <row r="359" spans="1:13" x14ac:dyDescent="0.3">
      <c r="A359" s="15"/>
      <c r="B359" s="1" t="s">
        <v>9</v>
      </c>
      <c r="C359" s="1">
        <v>1460.82</v>
      </c>
      <c r="D359" s="34">
        <v>5.0234610299999998E-3</v>
      </c>
      <c r="E359" s="7">
        <v>1.4340900000000001E-3</v>
      </c>
      <c r="M359">
        <f t="shared" si="5"/>
        <v>5.0234610299999998E-3</v>
      </c>
    </row>
    <row r="360" spans="1:13" x14ac:dyDescent="0.3">
      <c r="A360" s="15"/>
      <c r="B360" s="1" t="s">
        <v>10</v>
      </c>
      <c r="C360" s="1">
        <v>238.63</v>
      </c>
      <c r="D360" s="30">
        <v>6.164E-2</v>
      </c>
      <c r="E360" s="7">
        <v>4.5126999999999997E-3</v>
      </c>
      <c r="M360">
        <f t="shared" si="5"/>
        <v>6.164E-2</v>
      </c>
    </row>
    <row r="361" spans="1:13" x14ac:dyDescent="0.3">
      <c r="A361" s="15"/>
      <c r="B361" s="1" t="s">
        <v>11</v>
      </c>
      <c r="C361" s="1">
        <v>911.21</v>
      </c>
      <c r="D361" s="29">
        <v>1.204E-2</v>
      </c>
      <c r="E361" s="5">
        <v>1.9576099999999998E-3</v>
      </c>
      <c r="M361">
        <f t="shared" si="5"/>
        <v>1.204E-2</v>
      </c>
    </row>
    <row r="362" spans="1:13" x14ac:dyDescent="0.3">
      <c r="A362" s="15"/>
      <c r="B362" s="1"/>
      <c r="C362" s="1">
        <v>968.97</v>
      </c>
      <c r="D362" s="34">
        <v>5.0181553300000003E-3</v>
      </c>
      <c r="E362" s="5">
        <v>1.76261E-3</v>
      </c>
      <c r="M362">
        <f t="shared" si="5"/>
        <v>5.0181553300000003E-3</v>
      </c>
    </row>
    <row r="363" spans="1:13" x14ac:dyDescent="0.3">
      <c r="A363" s="15"/>
      <c r="B363" s="1"/>
      <c r="C363" s="1">
        <v>338.32</v>
      </c>
      <c r="D363" s="32">
        <v>9.8300479199999995E-3</v>
      </c>
      <c r="E363" s="5">
        <v>3.1008799999999999E-3</v>
      </c>
      <c r="M363">
        <f t="shared" si="5"/>
        <v>9.8300479199999995E-3</v>
      </c>
    </row>
    <row r="364" spans="1:13" x14ac:dyDescent="0.3">
      <c r="A364" s="15"/>
      <c r="B364" s="1" t="s">
        <v>12</v>
      </c>
      <c r="C364" s="1">
        <v>2614.5300000000002</v>
      </c>
      <c r="D364" s="34">
        <v>7.89547497E-3</v>
      </c>
      <c r="E364" s="7">
        <v>1.1711499999999999E-3</v>
      </c>
      <c r="M364">
        <f t="shared" si="5"/>
        <v>7.89547497E-3</v>
      </c>
    </row>
    <row r="365" spans="1:13" x14ac:dyDescent="0.3">
      <c r="A365" s="15"/>
      <c r="B365" s="1"/>
      <c r="C365" s="1">
        <v>583.19000000000005</v>
      </c>
      <c r="D365" s="33">
        <v>1.6809999999999999E-2</v>
      </c>
      <c r="E365" s="5">
        <v>2.4811E-3</v>
      </c>
      <c r="M365">
        <f t="shared" si="5"/>
        <v>1.6809999999999999E-2</v>
      </c>
    </row>
    <row r="366" spans="1:13" x14ac:dyDescent="0.3">
      <c r="A366" s="15"/>
      <c r="B366" s="1"/>
      <c r="C366" s="1">
        <v>510.77</v>
      </c>
      <c r="D366" s="30">
        <v>2.4920000000000001E-2</v>
      </c>
      <c r="E366" s="5">
        <v>3.0034100000000002E-3</v>
      </c>
      <c r="M366">
        <f t="shared" si="5"/>
        <v>2.4920000000000001E-2</v>
      </c>
    </row>
    <row r="367" spans="1:13" x14ac:dyDescent="0.3">
      <c r="A367" s="15"/>
      <c r="B367" s="22"/>
      <c r="C367" s="1">
        <v>860.56</v>
      </c>
      <c r="D367" s="1">
        <v>0</v>
      </c>
      <c r="E367" s="1">
        <v>0</v>
      </c>
      <c r="M367">
        <f t="shared" si="5"/>
        <v>0</v>
      </c>
    </row>
    <row r="368" spans="1:13" x14ac:dyDescent="0.3">
      <c r="A368" s="21">
        <v>32</v>
      </c>
      <c r="B368" s="1" t="s">
        <v>7</v>
      </c>
      <c r="C368" s="1">
        <v>351.93</v>
      </c>
      <c r="D368" s="33">
        <v>2.5319999999999999E-2</v>
      </c>
      <c r="E368" s="7">
        <v>3.4177600000000002E-3</v>
      </c>
      <c r="M368">
        <f t="shared" si="5"/>
        <v>2.5319999999999999E-2</v>
      </c>
    </row>
    <row r="369" spans="1:13" x14ac:dyDescent="0.3">
      <c r="A369" s="15"/>
      <c r="B369" s="1"/>
      <c r="C369" s="1">
        <v>295.22000000000003</v>
      </c>
      <c r="D369" s="30">
        <v>1.5610000000000001E-2</v>
      </c>
      <c r="E369" s="5">
        <v>3.40866E-3</v>
      </c>
      <c r="M369">
        <f t="shared" si="5"/>
        <v>1.5610000000000001E-2</v>
      </c>
    </row>
    <row r="370" spans="1:13" x14ac:dyDescent="0.3">
      <c r="A370" s="15"/>
      <c r="B370" s="1" t="s">
        <v>8</v>
      </c>
      <c r="C370" s="1">
        <v>609.32000000000005</v>
      </c>
      <c r="D370" s="33">
        <v>2.0299999999999999E-2</v>
      </c>
      <c r="E370" s="7">
        <v>2.6755500000000001E-3</v>
      </c>
      <c r="M370">
        <f t="shared" si="5"/>
        <v>2.0299999999999999E-2</v>
      </c>
    </row>
    <row r="371" spans="1:13" x14ac:dyDescent="0.3">
      <c r="A371" s="15"/>
      <c r="B371" s="1"/>
      <c r="C371" s="1">
        <v>1764.49</v>
      </c>
      <c r="D371" s="25">
        <v>1.3846511400000001E-3</v>
      </c>
      <c r="E371" s="7">
        <v>1.44396E-3</v>
      </c>
      <c r="M371">
        <f t="shared" si="5"/>
        <v>1.44396E-3</v>
      </c>
    </row>
    <row r="372" spans="1:13" x14ac:dyDescent="0.3">
      <c r="A372" s="15"/>
      <c r="B372" s="22"/>
      <c r="C372" s="1">
        <v>1120.29</v>
      </c>
      <c r="D372" s="32">
        <v>2.7300539700000001E-3</v>
      </c>
      <c r="E372" s="7">
        <v>1.6461900000000001E-3</v>
      </c>
      <c r="M372">
        <f t="shared" si="5"/>
        <v>2.7300539700000001E-3</v>
      </c>
    </row>
    <row r="373" spans="1:13" x14ac:dyDescent="0.3">
      <c r="A373" s="15"/>
      <c r="B373" s="1" t="s">
        <v>9</v>
      </c>
      <c r="C373" s="1">
        <v>1460.82</v>
      </c>
      <c r="D373" s="34">
        <v>5.2937642200000003E-3</v>
      </c>
      <c r="E373" s="7">
        <v>1.4586200000000001E-3</v>
      </c>
      <c r="M373">
        <f t="shared" si="5"/>
        <v>5.2937642200000003E-3</v>
      </c>
    </row>
    <row r="374" spans="1:13" x14ac:dyDescent="0.3">
      <c r="A374" s="15"/>
      <c r="B374" s="1" t="s">
        <v>10</v>
      </c>
      <c r="C374" s="1">
        <v>238.63</v>
      </c>
      <c r="D374" s="30">
        <v>5.9569999999999998E-2</v>
      </c>
      <c r="E374" s="5">
        <v>4.2985300000000001E-3</v>
      </c>
      <c r="M374">
        <f t="shared" si="5"/>
        <v>5.9569999999999998E-2</v>
      </c>
    </row>
    <row r="375" spans="1:13" x14ac:dyDescent="0.3">
      <c r="A375" s="15"/>
      <c r="B375" s="1" t="s">
        <v>11</v>
      </c>
      <c r="C375" s="1">
        <v>911.21</v>
      </c>
      <c r="D375" s="33">
        <v>1.026E-2</v>
      </c>
      <c r="E375" s="7">
        <v>1.99073E-3</v>
      </c>
      <c r="M375">
        <f t="shared" si="5"/>
        <v>1.026E-2</v>
      </c>
    </row>
    <row r="376" spans="1:13" x14ac:dyDescent="0.3">
      <c r="A376" s="15"/>
      <c r="B376" s="1"/>
      <c r="C376" s="1">
        <v>968.97</v>
      </c>
      <c r="D376" s="32">
        <v>4.0517997099999998E-3</v>
      </c>
      <c r="E376" s="7">
        <v>2.12664E-3</v>
      </c>
      <c r="M376">
        <f t="shared" si="5"/>
        <v>4.0517997099999998E-3</v>
      </c>
    </row>
    <row r="377" spans="1:13" x14ac:dyDescent="0.3">
      <c r="A377" s="15"/>
      <c r="B377" s="1"/>
      <c r="C377" s="1">
        <v>338.32</v>
      </c>
      <c r="D377" s="33">
        <v>1.1730000000000001E-2</v>
      </c>
      <c r="E377" s="5">
        <v>2.84351E-3</v>
      </c>
      <c r="M377">
        <f t="shared" si="5"/>
        <v>1.1730000000000001E-2</v>
      </c>
    </row>
    <row r="378" spans="1:13" x14ac:dyDescent="0.3">
      <c r="A378" s="15"/>
      <c r="B378" s="1" t="s">
        <v>12</v>
      </c>
      <c r="C378" s="1">
        <v>2614.5300000000002</v>
      </c>
      <c r="D378" s="34">
        <v>7.7208031800000002E-3</v>
      </c>
      <c r="E378" s="7">
        <v>1.0816999999999999E-3</v>
      </c>
      <c r="M378">
        <f t="shared" si="5"/>
        <v>7.7208031800000002E-3</v>
      </c>
    </row>
    <row r="379" spans="1:13" x14ac:dyDescent="0.3">
      <c r="A379" s="15"/>
      <c r="B379" s="1"/>
      <c r="C379" s="1">
        <v>583.19000000000005</v>
      </c>
      <c r="D379" s="33">
        <v>1.4619999999999999E-2</v>
      </c>
      <c r="E379" s="5">
        <v>2.4495900000000002E-3</v>
      </c>
      <c r="M379">
        <f t="shared" si="5"/>
        <v>1.4619999999999999E-2</v>
      </c>
    </row>
    <row r="380" spans="1:13" x14ac:dyDescent="0.3">
      <c r="A380" s="15"/>
      <c r="B380" s="1"/>
      <c r="C380" s="1">
        <v>510.77</v>
      </c>
      <c r="D380" s="29">
        <v>2.631E-2</v>
      </c>
      <c r="E380" s="5">
        <v>2.9833699999999999E-3</v>
      </c>
      <c r="M380">
        <f t="shared" si="5"/>
        <v>2.631E-2</v>
      </c>
    </row>
    <row r="381" spans="1:13" x14ac:dyDescent="0.3">
      <c r="A381" s="15"/>
      <c r="B381" s="22"/>
      <c r="C381" s="1">
        <v>860.56</v>
      </c>
      <c r="D381" s="20">
        <v>1.43111753E-3</v>
      </c>
      <c r="E381" s="5">
        <v>1.5204800000000001E-3</v>
      </c>
      <c r="M381">
        <f t="shared" si="5"/>
        <v>1.5204800000000001E-3</v>
      </c>
    </row>
    <row r="382" spans="1:13" x14ac:dyDescent="0.3">
      <c r="A382" s="21">
        <v>33</v>
      </c>
      <c r="B382" s="1" t="s">
        <v>7</v>
      </c>
      <c r="C382" s="1">
        <v>351.93</v>
      </c>
      <c r="D382" s="30">
        <v>4.4150000000000002E-2</v>
      </c>
      <c r="E382" s="5">
        <v>3.4120299999999999E-3</v>
      </c>
      <c r="M382">
        <f t="shared" si="5"/>
        <v>4.4150000000000002E-2</v>
      </c>
    </row>
    <row r="383" spans="1:13" x14ac:dyDescent="0.3">
      <c r="A383" s="15"/>
      <c r="B383" s="1"/>
      <c r="C383" s="1">
        <v>295.22000000000003</v>
      </c>
      <c r="D383" s="33">
        <v>2.759E-2</v>
      </c>
      <c r="E383" s="5">
        <v>3.7128399999999998E-3</v>
      </c>
      <c r="M383">
        <f t="shared" si="5"/>
        <v>2.759E-2</v>
      </c>
    </row>
    <row r="384" spans="1:13" x14ac:dyDescent="0.3">
      <c r="A384" s="15"/>
      <c r="B384" s="1" t="s">
        <v>8</v>
      </c>
      <c r="C384" s="1">
        <v>609.32000000000005</v>
      </c>
      <c r="D384" s="30">
        <v>3.1710000000000002E-2</v>
      </c>
      <c r="E384" s="5">
        <v>2.4415299999999999E-3</v>
      </c>
      <c r="M384">
        <f t="shared" si="5"/>
        <v>3.1710000000000002E-2</v>
      </c>
    </row>
    <row r="385" spans="1:13" x14ac:dyDescent="0.3">
      <c r="A385" s="15"/>
      <c r="B385" s="1"/>
      <c r="C385" s="1">
        <v>1764.49</v>
      </c>
      <c r="D385" s="32">
        <v>5.7150547500000003E-3</v>
      </c>
      <c r="E385" s="7">
        <v>1.21915E-3</v>
      </c>
      <c r="M385">
        <f t="shared" si="5"/>
        <v>5.7150547500000003E-3</v>
      </c>
    </row>
    <row r="386" spans="1:13" x14ac:dyDescent="0.3">
      <c r="A386" s="15"/>
      <c r="B386" s="22"/>
      <c r="C386" s="1">
        <v>1120.29</v>
      </c>
      <c r="D386" s="34">
        <v>6.4385635000000002E-3</v>
      </c>
      <c r="E386" s="7">
        <v>1.62823E-3</v>
      </c>
      <c r="M386">
        <f t="shared" si="5"/>
        <v>6.4385635000000002E-3</v>
      </c>
    </row>
    <row r="387" spans="1:13" x14ac:dyDescent="0.3">
      <c r="A387" s="15"/>
      <c r="B387" s="22" t="s">
        <v>9</v>
      </c>
      <c r="C387" s="1">
        <v>1460.82</v>
      </c>
      <c r="D387" s="31">
        <v>4.6565056899999999E-3</v>
      </c>
      <c r="E387" s="5">
        <v>1.7167599999999999E-3</v>
      </c>
      <c r="M387">
        <f t="shared" si="5"/>
        <v>4.6565056899999999E-3</v>
      </c>
    </row>
    <row r="388" spans="1:13" x14ac:dyDescent="0.3">
      <c r="A388" s="15"/>
      <c r="B388" s="1" t="s">
        <v>10</v>
      </c>
      <c r="C388" s="1">
        <v>238.63</v>
      </c>
      <c r="D388" s="30">
        <v>9.0969999999999995E-2</v>
      </c>
      <c r="E388" s="5">
        <v>5.3861999999999998E-3</v>
      </c>
      <c r="M388">
        <f t="shared" si="5"/>
        <v>9.0969999999999995E-2</v>
      </c>
    </row>
    <row r="389" spans="1:13" x14ac:dyDescent="0.3">
      <c r="A389" s="15"/>
      <c r="B389" s="1" t="s">
        <v>11</v>
      </c>
      <c r="C389" s="1">
        <v>911.21</v>
      </c>
      <c r="D389" s="33">
        <v>1.866E-2</v>
      </c>
      <c r="E389" s="5">
        <v>2.0621099999999998E-3</v>
      </c>
      <c r="M389">
        <f t="shared" ref="M389:M452" si="6">MAX(D389:E389)</f>
        <v>1.866E-2</v>
      </c>
    </row>
    <row r="390" spans="1:13" x14ac:dyDescent="0.3">
      <c r="A390" s="15"/>
      <c r="B390" s="1"/>
      <c r="C390" s="1">
        <v>968.97</v>
      </c>
      <c r="D390" s="34">
        <v>7.5165722699999998E-3</v>
      </c>
      <c r="E390" s="5">
        <v>2.2187700000000001E-3</v>
      </c>
      <c r="M390">
        <f t="shared" si="6"/>
        <v>7.5165722699999998E-3</v>
      </c>
    </row>
    <row r="391" spans="1:13" x14ac:dyDescent="0.3">
      <c r="A391" s="15"/>
      <c r="B391" s="1"/>
      <c r="C391" s="1">
        <v>338.32</v>
      </c>
      <c r="D391" s="30">
        <v>1.9550000000000001E-2</v>
      </c>
      <c r="E391" s="5">
        <v>3.3037499999999998E-3</v>
      </c>
      <c r="M391">
        <f t="shared" si="6"/>
        <v>1.9550000000000001E-2</v>
      </c>
    </row>
    <row r="392" spans="1:13" x14ac:dyDescent="0.3">
      <c r="A392" s="15"/>
      <c r="B392" s="1" t="s">
        <v>12</v>
      </c>
      <c r="C392" s="1">
        <v>2614.5300000000002</v>
      </c>
      <c r="D392" s="33">
        <v>1.3299999999999999E-2</v>
      </c>
      <c r="E392" s="7">
        <v>1.21915E-3</v>
      </c>
      <c r="M392">
        <f t="shared" si="6"/>
        <v>1.3299999999999999E-2</v>
      </c>
    </row>
    <row r="393" spans="1:13" x14ac:dyDescent="0.3">
      <c r="A393" s="15"/>
      <c r="B393" s="1"/>
      <c r="C393" s="1">
        <v>583.19000000000005</v>
      </c>
      <c r="D393" s="30">
        <v>2.903E-2</v>
      </c>
      <c r="E393" s="5">
        <v>2.7218300000000002E-3</v>
      </c>
      <c r="M393">
        <f t="shared" si="6"/>
        <v>2.903E-2</v>
      </c>
    </row>
    <row r="394" spans="1:13" x14ac:dyDescent="0.3">
      <c r="A394" s="15"/>
      <c r="B394" s="1"/>
      <c r="C394" s="1">
        <v>510.77</v>
      </c>
      <c r="D394" s="30">
        <v>3.0360000000000002E-2</v>
      </c>
      <c r="E394" s="5">
        <v>3.3148800000000001E-3</v>
      </c>
      <c r="M394">
        <f t="shared" si="6"/>
        <v>3.0360000000000002E-2</v>
      </c>
    </row>
    <row r="395" spans="1:13" x14ac:dyDescent="0.3">
      <c r="A395" s="15"/>
      <c r="B395" s="1"/>
      <c r="C395" s="1">
        <v>860.56</v>
      </c>
      <c r="D395" s="34">
        <v>2.9347984500000001E-3</v>
      </c>
      <c r="E395" s="7">
        <v>1.74321E-3</v>
      </c>
      <c r="M395">
        <f t="shared" si="6"/>
        <v>2.9347984500000001E-3</v>
      </c>
    </row>
    <row r="396" spans="1:13" x14ac:dyDescent="0.3">
      <c r="A396" s="21">
        <v>34</v>
      </c>
      <c r="B396" s="1" t="s">
        <v>7</v>
      </c>
      <c r="C396" s="1">
        <v>351.93</v>
      </c>
      <c r="D396" s="30">
        <v>4.8140000000000002E-2</v>
      </c>
      <c r="E396" s="5">
        <v>3.2967700000000001E-3</v>
      </c>
      <c r="M396">
        <f t="shared" si="6"/>
        <v>4.8140000000000002E-2</v>
      </c>
    </row>
    <row r="397" spans="1:13" x14ac:dyDescent="0.3">
      <c r="A397" s="15"/>
      <c r="B397" s="1"/>
      <c r="C397" s="1">
        <v>295.22000000000003</v>
      </c>
      <c r="D397" s="30">
        <v>2.9829999999999999E-2</v>
      </c>
      <c r="E397" s="5">
        <v>4.6658100000000003E-3</v>
      </c>
      <c r="M397">
        <f t="shared" si="6"/>
        <v>2.9829999999999999E-2</v>
      </c>
    </row>
    <row r="398" spans="1:13" x14ac:dyDescent="0.3">
      <c r="A398" s="15"/>
      <c r="B398" s="1" t="s">
        <v>8</v>
      </c>
      <c r="C398" s="1">
        <v>609.32000000000005</v>
      </c>
      <c r="D398" s="30">
        <v>3.2489999999999998E-2</v>
      </c>
      <c r="E398" s="5">
        <v>2.6512300000000001E-3</v>
      </c>
      <c r="M398">
        <f t="shared" si="6"/>
        <v>3.2489999999999998E-2</v>
      </c>
    </row>
    <row r="399" spans="1:13" x14ac:dyDescent="0.3">
      <c r="A399" s="15"/>
      <c r="B399" s="1"/>
      <c r="C399" s="1">
        <v>1764.49</v>
      </c>
      <c r="D399" s="32">
        <v>4.5264568000000002E-3</v>
      </c>
      <c r="E399" s="7">
        <v>1.1629500000000001E-3</v>
      </c>
      <c r="M399">
        <f t="shared" si="6"/>
        <v>4.5264568000000002E-3</v>
      </c>
    </row>
    <row r="400" spans="1:13" x14ac:dyDescent="0.3">
      <c r="A400" s="15"/>
      <c r="B400" s="1"/>
      <c r="C400" s="1">
        <v>1120.29</v>
      </c>
      <c r="D400" s="31">
        <v>7.2695336999999997E-3</v>
      </c>
      <c r="E400" s="5">
        <v>1.71265E-3</v>
      </c>
      <c r="M400">
        <f t="shared" si="6"/>
        <v>7.2695336999999997E-3</v>
      </c>
    </row>
    <row r="401" spans="1:13" x14ac:dyDescent="0.3">
      <c r="A401" s="15"/>
      <c r="B401" s="1" t="s">
        <v>9</v>
      </c>
      <c r="C401" s="1">
        <v>1460.82</v>
      </c>
      <c r="D401" s="32">
        <v>7.4526816400000001E-3</v>
      </c>
      <c r="E401" s="7">
        <v>1.69612E-3</v>
      </c>
      <c r="M401">
        <f t="shared" si="6"/>
        <v>7.4526816400000001E-3</v>
      </c>
    </row>
    <row r="402" spans="1:13" x14ac:dyDescent="0.3">
      <c r="A402" s="15"/>
      <c r="B402" s="1" t="s">
        <v>10</v>
      </c>
      <c r="C402" s="1">
        <v>238.63</v>
      </c>
      <c r="D402" s="33">
        <v>0.11865000000000001</v>
      </c>
      <c r="E402" s="5">
        <v>5.0594400000000001E-3</v>
      </c>
      <c r="M402">
        <f t="shared" si="6"/>
        <v>0.11865000000000001</v>
      </c>
    </row>
    <row r="403" spans="1:13" x14ac:dyDescent="0.3">
      <c r="A403" s="15"/>
      <c r="B403" s="1" t="s">
        <v>11</v>
      </c>
      <c r="C403" s="1">
        <v>911.21</v>
      </c>
      <c r="D403" s="33">
        <v>2.239E-2</v>
      </c>
      <c r="E403" s="7">
        <v>2.0541800000000001E-3</v>
      </c>
      <c r="M403">
        <f t="shared" si="6"/>
        <v>2.239E-2</v>
      </c>
    </row>
    <row r="404" spans="1:13" x14ac:dyDescent="0.3">
      <c r="A404" s="15"/>
      <c r="B404" s="1"/>
      <c r="C404" s="1">
        <v>968.97</v>
      </c>
      <c r="D404" s="33">
        <v>1.0120000000000001E-2</v>
      </c>
      <c r="E404" s="7">
        <v>2.4562099999999999E-3</v>
      </c>
      <c r="M404">
        <f t="shared" si="6"/>
        <v>1.0120000000000001E-2</v>
      </c>
    </row>
    <row r="405" spans="1:13" x14ac:dyDescent="0.3">
      <c r="A405" s="15"/>
      <c r="B405" s="1"/>
      <c r="C405" s="1">
        <v>338.32</v>
      </c>
      <c r="D405" s="30">
        <v>2.0809999999999999E-2</v>
      </c>
      <c r="E405" s="5">
        <v>3.53973E-3</v>
      </c>
      <c r="M405">
        <f t="shared" si="6"/>
        <v>2.0809999999999999E-2</v>
      </c>
    </row>
    <row r="406" spans="1:13" x14ac:dyDescent="0.3">
      <c r="A406" s="15"/>
      <c r="B406" s="1" t="s">
        <v>12</v>
      </c>
      <c r="C406" s="1">
        <v>2614.5300000000002</v>
      </c>
      <c r="D406" s="33">
        <v>1.4749999999999999E-2</v>
      </c>
      <c r="E406" s="7">
        <v>8.6226100000000002E-4</v>
      </c>
      <c r="M406">
        <f t="shared" si="6"/>
        <v>1.4749999999999999E-2</v>
      </c>
    </row>
    <row r="407" spans="1:13" x14ac:dyDescent="0.3">
      <c r="A407" s="15"/>
      <c r="B407" s="1"/>
      <c r="C407" s="1">
        <v>583.19000000000005</v>
      </c>
      <c r="D407" s="30">
        <v>2.9069999999999999E-2</v>
      </c>
      <c r="E407" s="5">
        <v>3.1008799999999999E-3</v>
      </c>
      <c r="M407">
        <f t="shared" si="6"/>
        <v>2.9069999999999999E-2</v>
      </c>
    </row>
    <row r="408" spans="1:13" x14ac:dyDescent="0.3">
      <c r="A408" s="15"/>
      <c r="B408" s="1"/>
      <c r="C408" s="1">
        <v>510.77</v>
      </c>
      <c r="D408" s="30">
        <v>3.0460000000000001E-2</v>
      </c>
      <c r="E408" s="5">
        <v>3.4214599999999999E-3</v>
      </c>
      <c r="M408">
        <f t="shared" si="6"/>
        <v>3.0460000000000001E-2</v>
      </c>
    </row>
    <row r="409" spans="1:13" x14ac:dyDescent="0.3">
      <c r="A409" s="15"/>
      <c r="B409" s="1"/>
      <c r="C409" s="1">
        <v>860.56</v>
      </c>
      <c r="D409" s="34">
        <v>3.3232732600000001E-3</v>
      </c>
      <c r="E409" s="7">
        <v>1.7532699999999999E-3</v>
      </c>
      <c r="M409">
        <f t="shared" si="6"/>
        <v>3.3232732600000001E-3</v>
      </c>
    </row>
    <row r="410" spans="1:13" x14ac:dyDescent="0.3">
      <c r="A410" s="21">
        <v>36</v>
      </c>
      <c r="B410" s="1" t="s">
        <v>7</v>
      </c>
      <c r="C410" s="1">
        <v>351.93</v>
      </c>
      <c r="D410" s="30">
        <v>0.97270000000000001</v>
      </c>
      <c r="E410" s="4">
        <v>1.123E-2</v>
      </c>
      <c r="M410">
        <f t="shared" si="6"/>
        <v>0.97270000000000001</v>
      </c>
    </row>
    <row r="411" spans="1:13" x14ac:dyDescent="0.3">
      <c r="A411" s="15"/>
      <c r="B411" s="1"/>
      <c r="C411" s="1">
        <v>295.22000000000003</v>
      </c>
      <c r="D411" s="30">
        <v>0.57691000000000003</v>
      </c>
      <c r="E411" s="4">
        <v>1.374E-2</v>
      </c>
      <c r="M411">
        <f t="shared" si="6"/>
        <v>0.57691000000000003</v>
      </c>
    </row>
    <row r="412" spans="1:13" x14ac:dyDescent="0.3">
      <c r="A412" s="15"/>
      <c r="B412" s="1" t="s">
        <v>8</v>
      </c>
      <c r="C412" s="1">
        <v>609.32000000000005</v>
      </c>
      <c r="D412" s="30">
        <v>0.69674999999999998</v>
      </c>
      <c r="E412" s="6">
        <v>7.0351500000000004E-3</v>
      </c>
      <c r="M412">
        <f t="shared" si="6"/>
        <v>0.69674999999999998</v>
      </c>
    </row>
    <row r="413" spans="1:13" x14ac:dyDescent="0.3">
      <c r="A413" s="15"/>
      <c r="B413" s="1"/>
      <c r="C413" s="1">
        <v>1764.49</v>
      </c>
      <c r="D413" s="30">
        <v>0.10156</v>
      </c>
      <c r="E413" s="5">
        <v>3.1053399999999998E-3</v>
      </c>
      <c r="M413">
        <f t="shared" si="6"/>
        <v>0.10156</v>
      </c>
    </row>
    <row r="414" spans="1:13" x14ac:dyDescent="0.3">
      <c r="A414" s="15"/>
      <c r="B414" s="1"/>
      <c r="C414" s="1">
        <v>1120.29</v>
      </c>
      <c r="D414" s="30">
        <v>0.13891000000000001</v>
      </c>
      <c r="E414" s="5">
        <v>4.4734700000000002E-3</v>
      </c>
      <c r="M414">
        <f t="shared" si="6"/>
        <v>0.13891000000000001</v>
      </c>
    </row>
    <row r="415" spans="1:13" x14ac:dyDescent="0.3">
      <c r="A415" s="15"/>
      <c r="B415" s="1" t="s">
        <v>9</v>
      </c>
      <c r="C415" s="1">
        <v>1460.82</v>
      </c>
      <c r="D415" s="34">
        <v>8.5293204999999997E-3</v>
      </c>
      <c r="E415" s="7">
        <v>3.7825799999999998E-3</v>
      </c>
      <c r="M415">
        <f t="shared" si="6"/>
        <v>8.5293204999999997E-3</v>
      </c>
    </row>
    <row r="416" spans="1:13" x14ac:dyDescent="0.3">
      <c r="A416" s="15"/>
      <c r="B416" s="1" t="s">
        <v>10</v>
      </c>
      <c r="C416" s="1">
        <v>238.63</v>
      </c>
      <c r="D416" s="30">
        <v>1.66917</v>
      </c>
      <c r="E416" s="4">
        <v>1.5959999999999998E-2</v>
      </c>
      <c r="M416">
        <f t="shared" si="6"/>
        <v>1.66917</v>
      </c>
    </row>
    <row r="417" spans="1:13" x14ac:dyDescent="0.3">
      <c r="A417" s="15"/>
      <c r="B417" s="1" t="s">
        <v>11</v>
      </c>
      <c r="C417" s="1">
        <v>911.21</v>
      </c>
      <c r="D417" s="33">
        <v>0.31236000000000003</v>
      </c>
      <c r="E417" s="5">
        <v>5.1289400000000002E-3</v>
      </c>
      <c r="M417">
        <f t="shared" si="6"/>
        <v>0.31236000000000003</v>
      </c>
    </row>
    <row r="418" spans="1:13" x14ac:dyDescent="0.3">
      <c r="A418" s="15"/>
      <c r="B418" s="1"/>
      <c r="C418" s="1">
        <v>968.97</v>
      </c>
      <c r="D418" s="30">
        <v>0.18181</v>
      </c>
      <c r="E418" s="5">
        <v>5.9376400000000001E-3</v>
      </c>
      <c r="M418">
        <f t="shared" si="6"/>
        <v>0.18181</v>
      </c>
    </row>
    <row r="419" spans="1:13" x14ac:dyDescent="0.3">
      <c r="A419" s="15"/>
      <c r="B419" s="1"/>
      <c r="C419" s="1">
        <v>338.32</v>
      </c>
      <c r="D419" s="30">
        <v>0.31696999999999997</v>
      </c>
      <c r="E419" s="5">
        <v>9.8795600000000008E-3</v>
      </c>
      <c r="M419">
        <f t="shared" si="6"/>
        <v>0.31696999999999997</v>
      </c>
    </row>
    <row r="420" spans="1:13" x14ac:dyDescent="0.3">
      <c r="A420" s="15"/>
      <c r="B420" s="1" t="s">
        <v>12</v>
      </c>
      <c r="C420" s="1">
        <v>2614.5300000000002</v>
      </c>
      <c r="D420" s="30">
        <v>0.15751000000000001</v>
      </c>
      <c r="E420" s="5">
        <v>1.7606200000000001E-3</v>
      </c>
      <c r="M420">
        <f t="shared" si="6"/>
        <v>0.15751000000000001</v>
      </c>
    </row>
    <row r="421" spans="1:13" x14ac:dyDescent="0.3">
      <c r="A421" s="15"/>
      <c r="B421" s="1"/>
      <c r="C421" s="1">
        <v>583.19000000000005</v>
      </c>
      <c r="D421" s="30">
        <v>0.4854</v>
      </c>
      <c r="E421" s="5">
        <v>7.68514E-3</v>
      </c>
      <c r="M421">
        <f t="shared" si="6"/>
        <v>0.4854</v>
      </c>
    </row>
    <row r="422" spans="1:13" x14ac:dyDescent="0.3">
      <c r="A422" s="15"/>
      <c r="B422" s="1"/>
      <c r="C422" s="1">
        <v>510.77</v>
      </c>
      <c r="D422" s="30">
        <v>0.16642999999999999</v>
      </c>
      <c r="E422" s="5">
        <v>8.1991800000000004E-3</v>
      </c>
      <c r="M422">
        <f t="shared" si="6"/>
        <v>0.16642999999999999</v>
      </c>
    </row>
    <row r="423" spans="1:13" x14ac:dyDescent="0.3">
      <c r="A423" s="15"/>
      <c r="B423" s="1"/>
      <c r="C423" s="1">
        <v>860.56</v>
      </c>
      <c r="D423" s="33">
        <v>5.2929999999999998E-2</v>
      </c>
      <c r="E423" s="7">
        <v>5.26656E-3</v>
      </c>
      <c r="M423">
        <f t="shared" si="6"/>
        <v>5.2929999999999998E-2</v>
      </c>
    </row>
    <row r="424" spans="1:13" x14ac:dyDescent="0.3">
      <c r="A424" s="15">
        <v>37</v>
      </c>
      <c r="B424" s="1" t="s">
        <v>7</v>
      </c>
      <c r="C424" s="1">
        <v>351.93</v>
      </c>
      <c r="D424" s="30">
        <v>3.2606299999999999</v>
      </c>
      <c r="E424" s="4">
        <v>1.9279999999999999E-2</v>
      </c>
      <c r="M424">
        <f t="shared" si="6"/>
        <v>3.2606299999999999</v>
      </c>
    </row>
    <row r="425" spans="1:13" x14ac:dyDescent="0.3">
      <c r="A425" s="15"/>
      <c r="B425" s="1"/>
      <c r="C425" s="1">
        <v>295.22000000000003</v>
      </c>
      <c r="D425" s="30">
        <v>1.91998</v>
      </c>
      <c r="E425" s="4">
        <v>3.3360000000000001E-2</v>
      </c>
      <c r="M425">
        <f t="shared" si="6"/>
        <v>1.91998</v>
      </c>
    </row>
    <row r="426" spans="1:13" x14ac:dyDescent="0.3">
      <c r="A426" s="15"/>
      <c r="B426" s="1" t="s">
        <v>8</v>
      </c>
      <c r="C426" s="1">
        <v>609.32000000000005</v>
      </c>
      <c r="D426" s="30">
        <v>2.2785199999999999</v>
      </c>
      <c r="E426" s="4">
        <v>1.3809999999999999E-2</v>
      </c>
      <c r="M426">
        <f t="shared" si="6"/>
        <v>2.2785199999999999</v>
      </c>
    </row>
    <row r="427" spans="1:13" x14ac:dyDescent="0.3">
      <c r="A427" s="15"/>
      <c r="B427" s="1"/>
      <c r="C427" s="1">
        <v>1764.49</v>
      </c>
      <c r="D427" s="30">
        <v>0.35510999999999998</v>
      </c>
      <c r="E427" s="5">
        <v>5.1146999999999998E-3</v>
      </c>
      <c r="M427">
        <f t="shared" si="6"/>
        <v>0.35510999999999998</v>
      </c>
    </row>
    <row r="428" spans="1:13" x14ac:dyDescent="0.3">
      <c r="A428" s="15"/>
      <c r="B428" s="1"/>
      <c r="C428" s="1">
        <v>1120.29</v>
      </c>
      <c r="D428" s="30">
        <v>0.46309</v>
      </c>
      <c r="E428" s="4">
        <v>1.043E-2</v>
      </c>
      <c r="M428">
        <f t="shared" si="6"/>
        <v>0.46309</v>
      </c>
    </row>
    <row r="429" spans="1:13" x14ac:dyDescent="0.3">
      <c r="A429" s="15"/>
      <c r="B429" s="1" t="s">
        <v>9</v>
      </c>
      <c r="C429" s="1">
        <v>1460.82</v>
      </c>
      <c r="D429" s="30">
        <v>3.5299999999999998E-2</v>
      </c>
      <c r="E429" s="5">
        <v>6.6640800000000002E-3</v>
      </c>
      <c r="M429">
        <f t="shared" si="6"/>
        <v>3.5299999999999998E-2</v>
      </c>
    </row>
    <row r="430" spans="1:13" x14ac:dyDescent="0.3">
      <c r="A430" s="15"/>
      <c r="B430" s="1" t="s">
        <v>10</v>
      </c>
      <c r="C430" s="1">
        <v>238.63</v>
      </c>
      <c r="D430" s="30">
        <v>6.2031200000000002</v>
      </c>
      <c r="E430" s="4">
        <v>3.2410000000000001E-2</v>
      </c>
      <c r="M430">
        <f t="shared" si="6"/>
        <v>6.2031200000000002</v>
      </c>
    </row>
    <row r="431" spans="1:13" x14ac:dyDescent="0.3">
      <c r="A431" s="15"/>
      <c r="B431" s="1" t="s">
        <v>11</v>
      </c>
      <c r="C431" s="1">
        <v>911.21</v>
      </c>
      <c r="D431" s="30">
        <v>1.15089</v>
      </c>
      <c r="E431" s="5">
        <v>9.9718600000000008E-3</v>
      </c>
      <c r="M431">
        <f t="shared" si="6"/>
        <v>1.15089</v>
      </c>
    </row>
    <row r="432" spans="1:13" x14ac:dyDescent="0.3">
      <c r="A432" s="15"/>
      <c r="B432" s="1"/>
      <c r="C432" s="1">
        <v>968.97</v>
      </c>
      <c r="D432" s="30">
        <v>0.66501999999999994</v>
      </c>
      <c r="E432" s="4">
        <v>1.022E-2</v>
      </c>
      <c r="M432">
        <f t="shared" si="6"/>
        <v>0.66501999999999994</v>
      </c>
    </row>
    <row r="433" spans="1:13" x14ac:dyDescent="0.3">
      <c r="A433" s="15"/>
      <c r="B433" s="1"/>
      <c r="C433" s="1">
        <v>338.32</v>
      </c>
      <c r="D433" s="30">
        <v>1.1526799999999999</v>
      </c>
      <c r="E433" s="4">
        <v>2.1770000000000001E-2</v>
      </c>
      <c r="M433">
        <f t="shared" si="6"/>
        <v>1.1526799999999999</v>
      </c>
    </row>
    <row r="434" spans="1:13" x14ac:dyDescent="0.3">
      <c r="A434" s="15"/>
      <c r="B434" s="1" t="s">
        <v>12</v>
      </c>
      <c r="C434" s="1">
        <v>2614.5300000000002</v>
      </c>
      <c r="D434" s="30">
        <v>0.58709999999999996</v>
      </c>
      <c r="E434" s="5">
        <v>2.7773300000000002E-3</v>
      </c>
      <c r="M434">
        <f t="shared" si="6"/>
        <v>0.58709999999999996</v>
      </c>
    </row>
    <row r="435" spans="1:13" x14ac:dyDescent="0.3">
      <c r="A435" s="15"/>
      <c r="B435" s="1"/>
      <c r="C435" s="1">
        <v>583.19000000000005</v>
      </c>
      <c r="D435" s="30">
        <v>1.7882499999999999</v>
      </c>
      <c r="E435" s="4">
        <v>1.448E-2</v>
      </c>
      <c r="M435">
        <f t="shared" si="6"/>
        <v>1.7882499999999999</v>
      </c>
    </row>
    <row r="436" spans="1:13" x14ac:dyDescent="0.3">
      <c r="A436" s="15"/>
      <c r="B436" s="1"/>
      <c r="C436" s="1">
        <v>510.77</v>
      </c>
      <c r="D436" s="30">
        <v>0.56976000000000004</v>
      </c>
      <c r="E436" s="4">
        <v>1.516E-2</v>
      </c>
      <c r="M436">
        <f t="shared" si="6"/>
        <v>0.56976000000000004</v>
      </c>
    </row>
    <row r="437" spans="1:13" x14ac:dyDescent="0.3">
      <c r="A437" s="15"/>
      <c r="B437" s="1"/>
      <c r="C437" s="1">
        <v>860.56</v>
      </c>
      <c r="D437" s="30">
        <v>0.19975999999999999</v>
      </c>
      <c r="E437" s="5">
        <v>8.8850400000000003E-3</v>
      </c>
      <c r="M437">
        <f t="shared" si="6"/>
        <v>0.19975999999999999</v>
      </c>
    </row>
    <row r="438" spans="1:13" x14ac:dyDescent="0.3">
      <c r="A438" s="21">
        <v>38</v>
      </c>
      <c r="B438" s="1" t="s">
        <v>7</v>
      </c>
      <c r="C438" s="1">
        <v>351.93</v>
      </c>
      <c r="D438" s="30">
        <v>1.1753</v>
      </c>
      <c r="E438" s="4">
        <v>1.234E-2</v>
      </c>
      <c r="M438">
        <f t="shared" si="6"/>
        <v>1.1753</v>
      </c>
    </row>
    <row r="439" spans="1:13" x14ac:dyDescent="0.3">
      <c r="A439" s="15"/>
      <c r="B439" s="1"/>
      <c r="C439" s="1">
        <v>295.22000000000003</v>
      </c>
      <c r="D439" s="30">
        <v>0.69269000000000003</v>
      </c>
      <c r="E439" s="4">
        <v>1.7100000000000001E-2</v>
      </c>
      <c r="M439">
        <f t="shared" si="6"/>
        <v>0.69269000000000003</v>
      </c>
    </row>
    <row r="440" spans="1:13" x14ac:dyDescent="0.3">
      <c r="A440" s="15"/>
      <c r="B440" s="1" t="s">
        <v>8</v>
      </c>
      <c r="C440" s="1">
        <v>609.32000000000005</v>
      </c>
      <c r="D440" s="30">
        <v>0.81860999999999995</v>
      </c>
      <c r="E440" s="5">
        <v>8.6010600000000006E-3</v>
      </c>
      <c r="M440">
        <f t="shared" si="6"/>
        <v>0.81860999999999995</v>
      </c>
    </row>
    <row r="441" spans="1:13" x14ac:dyDescent="0.3">
      <c r="A441" s="15"/>
      <c r="B441" s="1"/>
      <c r="C441" s="1">
        <v>1764.49</v>
      </c>
      <c r="D441" s="33">
        <v>0.23547000000000001</v>
      </c>
      <c r="E441" s="7">
        <v>2.1987600000000001E-3</v>
      </c>
      <c r="M441">
        <f t="shared" si="6"/>
        <v>0.23547000000000001</v>
      </c>
    </row>
    <row r="442" spans="1:13" x14ac:dyDescent="0.3">
      <c r="A442" s="15"/>
      <c r="B442" s="1"/>
      <c r="C442" s="1">
        <v>1120.29</v>
      </c>
      <c r="D442" s="30">
        <v>0.17161999999999999</v>
      </c>
      <c r="E442" s="5">
        <v>4.7815599999999998E-3</v>
      </c>
      <c r="M442">
        <f t="shared" si="6"/>
        <v>0.17161999999999999</v>
      </c>
    </row>
    <row r="443" spans="1:13" x14ac:dyDescent="0.3">
      <c r="A443" s="15"/>
      <c r="B443" s="1" t="s">
        <v>9</v>
      </c>
      <c r="C443" s="1">
        <v>1460.82</v>
      </c>
      <c r="D443" s="30">
        <v>4.6440000000000002E-2</v>
      </c>
      <c r="E443" s="5">
        <v>4.1883700000000003E-3</v>
      </c>
      <c r="M443">
        <f t="shared" si="6"/>
        <v>4.6440000000000002E-2</v>
      </c>
    </row>
    <row r="444" spans="1:13" x14ac:dyDescent="0.3">
      <c r="A444" s="15"/>
      <c r="B444" s="1" t="s">
        <v>10</v>
      </c>
      <c r="C444" s="1">
        <v>238.63</v>
      </c>
      <c r="D444" s="30">
        <v>2.5087999999999999</v>
      </c>
      <c r="E444" s="4">
        <v>1.958E-2</v>
      </c>
      <c r="M444">
        <f t="shared" si="6"/>
        <v>2.5087999999999999</v>
      </c>
    </row>
    <row r="445" spans="1:13" x14ac:dyDescent="0.3">
      <c r="A445" s="15"/>
      <c r="B445" s="1" t="s">
        <v>11</v>
      </c>
      <c r="C445" s="1">
        <v>911.21</v>
      </c>
      <c r="D445" s="33">
        <v>0.47437000000000001</v>
      </c>
      <c r="E445" s="5">
        <v>7.3997500000000001E-3</v>
      </c>
      <c r="M445">
        <f t="shared" si="6"/>
        <v>0.47437000000000001</v>
      </c>
    </row>
    <row r="446" spans="1:13" x14ac:dyDescent="0.3">
      <c r="A446" s="15"/>
      <c r="B446" s="1"/>
      <c r="C446" s="1">
        <v>968.97</v>
      </c>
      <c r="D446" s="30">
        <v>0.27714</v>
      </c>
      <c r="E446" s="5">
        <v>6.8301799999999999E-3</v>
      </c>
      <c r="M446">
        <f t="shared" si="6"/>
        <v>0.27714</v>
      </c>
    </row>
    <row r="447" spans="1:13" x14ac:dyDescent="0.3">
      <c r="A447" s="15"/>
      <c r="B447" s="1"/>
      <c r="C447" s="1">
        <v>338.32</v>
      </c>
      <c r="D447" s="30">
        <v>0.48300999999999999</v>
      </c>
      <c r="E447" s="4">
        <v>1.9400000000000001E-2</v>
      </c>
      <c r="M447">
        <f t="shared" si="6"/>
        <v>0.48300999999999999</v>
      </c>
    </row>
    <row r="448" spans="1:13" x14ac:dyDescent="0.3">
      <c r="A448" s="15"/>
      <c r="B448" s="1" t="s">
        <v>12</v>
      </c>
      <c r="C448" s="1">
        <v>2614.5300000000002</v>
      </c>
      <c r="D448" s="30">
        <v>0.23547000000000001</v>
      </c>
      <c r="E448" s="5">
        <v>2.1987600000000001E-3</v>
      </c>
      <c r="M448">
        <f t="shared" si="6"/>
        <v>0.23547000000000001</v>
      </c>
    </row>
    <row r="449" spans="1:13" x14ac:dyDescent="0.3">
      <c r="A449" s="15"/>
      <c r="B449" s="1"/>
      <c r="C449" s="1">
        <v>583.19000000000005</v>
      </c>
      <c r="D449" s="30">
        <v>0.71806999999999999</v>
      </c>
      <c r="E449" s="5">
        <v>9.9632100000000001E-3</v>
      </c>
      <c r="M449">
        <f t="shared" si="6"/>
        <v>0.71806999999999999</v>
      </c>
    </row>
    <row r="450" spans="1:13" x14ac:dyDescent="0.3">
      <c r="A450" s="15"/>
      <c r="B450" s="1"/>
      <c r="C450" s="1">
        <v>510.77</v>
      </c>
      <c r="D450" s="30">
        <v>0.23882999999999999</v>
      </c>
      <c r="E450" s="5">
        <v>9.3323699999999996E-3</v>
      </c>
      <c r="M450">
        <f t="shared" si="6"/>
        <v>0.23882999999999999</v>
      </c>
    </row>
    <row r="451" spans="1:13" x14ac:dyDescent="0.3">
      <c r="A451" s="15"/>
      <c r="B451" s="1"/>
      <c r="C451" s="1">
        <v>860.56</v>
      </c>
      <c r="D451" s="30">
        <v>8.3799999999999999E-2</v>
      </c>
      <c r="E451" s="5">
        <v>5.7363400000000004E-3</v>
      </c>
      <c r="M451">
        <f t="shared" si="6"/>
        <v>8.3799999999999999E-2</v>
      </c>
    </row>
    <row r="452" spans="1:13" x14ac:dyDescent="0.3">
      <c r="A452" s="15">
        <v>39</v>
      </c>
      <c r="B452" s="1" t="s">
        <v>7</v>
      </c>
      <c r="C452" s="1">
        <v>351.93</v>
      </c>
      <c r="D452" s="30">
        <v>0.71184000000000003</v>
      </c>
      <c r="E452" s="4">
        <v>1.09E-2</v>
      </c>
      <c r="M452">
        <f t="shared" si="6"/>
        <v>0.71184000000000003</v>
      </c>
    </row>
    <row r="453" spans="1:13" x14ac:dyDescent="0.3">
      <c r="A453" s="15"/>
      <c r="B453" s="1"/>
      <c r="C453" s="1">
        <v>295.22000000000003</v>
      </c>
      <c r="D453" s="30">
        <v>0.41313</v>
      </c>
      <c r="E453" s="4">
        <v>1.4030000000000001E-2</v>
      </c>
      <c r="M453">
        <f t="shared" ref="M453:M516" si="7">MAX(D453:E453)</f>
        <v>0.41313</v>
      </c>
    </row>
    <row r="454" spans="1:13" x14ac:dyDescent="0.3">
      <c r="A454" s="15"/>
      <c r="B454" s="1" t="s">
        <v>8</v>
      </c>
      <c r="C454" s="1">
        <v>609.32000000000005</v>
      </c>
      <c r="D454" s="30">
        <v>0.49719000000000002</v>
      </c>
      <c r="E454" s="5">
        <v>7.5925100000000002E-3</v>
      </c>
      <c r="M454">
        <f t="shared" si="7"/>
        <v>0.49719000000000002</v>
      </c>
    </row>
    <row r="455" spans="1:13" x14ac:dyDescent="0.3">
      <c r="A455" s="15"/>
      <c r="B455" s="1"/>
      <c r="C455" s="1">
        <v>1764.49</v>
      </c>
      <c r="D455" s="30">
        <v>7.6560000000000003E-2</v>
      </c>
      <c r="E455" s="5">
        <v>2.8782299999999999E-3</v>
      </c>
      <c r="M455">
        <f t="shared" si="7"/>
        <v>7.6560000000000003E-2</v>
      </c>
    </row>
    <row r="456" spans="1:13" x14ac:dyDescent="0.3">
      <c r="A456" s="15"/>
      <c r="B456" s="1"/>
      <c r="C456" s="1">
        <v>1120.29</v>
      </c>
      <c r="D456" s="30">
        <v>9.3439999999999995E-2</v>
      </c>
      <c r="E456" s="5">
        <v>4.2332699999999999E-3</v>
      </c>
      <c r="M456">
        <f t="shared" si="7"/>
        <v>9.3439999999999995E-2</v>
      </c>
    </row>
    <row r="457" spans="1:13" x14ac:dyDescent="0.3">
      <c r="A457" s="15"/>
      <c r="B457" s="1" t="s">
        <v>9</v>
      </c>
      <c r="C457" s="1">
        <v>1460.82</v>
      </c>
      <c r="D457" s="30">
        <v>3.1759999999999997E-2</v>
      </c>
      <c r="E457" s="5">
        <v>3.7880399999999999E-3</v>
      </c>
      <c r="M457">
        <f t="shared" si="7"/>
        <v>3.1759999999999997E-2</v>
      </c>
    </row>
    <row r="458" spans="1:13" x14ac:dyDescent="0.3">
      <c r="A458" s="15"/>
      <c r="B458" s="1" t="s">
        <v>10</v>
      </c>
      <c r="C458" s="1">
        <v>238.63</v>
      </c>
      <c r="D458" s="30">
        <v>2.4985200000000001</v>
      </c>
      <c r="E458" s="4">
        <v>1.678E-2</v>
      </c>
      <c r="M458">
        <f t="shared" si="7"/>
        <v>2.4985200000000001</v>
      </c>
    </row>
    <row r="459" spans="1:13" x14ac:dyDescent="0.3">
      <c r="A459" s="15"/>
      <c r="B459" s="1" t="s">
        <v>11</v>
      </c>
      <c r="C459" s="1">
        <v>911.21</v>
      </c>
      <c r="D459" s="30">
        <v>0.41253000000000001</v>
      </c>
      <c r="E459" s="5">
        <v>5.2539700000000002E-3</v>
      </c>
      <c r="M459">
        <f t="shared" si="7"/>
        <v>0.41253000000000001</v>
      </c>
    </row>
    <row r="460" spans="1:13" x14ac:dyDescent="0.3">
      <c r="A460" s="15"/>
      <c r="B460" s="1"/>
      <c r="C460" s="1">
        <v>968.97</v>
      </c>
      <c r="D460" s="30">
        <v>0.23554</v>
      </c>
      <c r="E460" s="5">
        <v>6.4422500000000001E-3</v>
      </c>
      <c r="M460">
        <f t="shared" si="7"/>
        <v>0.23554</v>
      </c>
    </row>
    <row r="461" spans="1:13" x14ac:dyDescent="0.3">
      <c r="A461" s="15"/>
      <c r="B461" s="1"/>
      <c r="C461" s="1">
        <v>338.32</v>
      </c>
      <c r="D461" s="30">
        <v>0.42020999999999997</v>
      </c>
      <c r="E461" s="4">
        <v>1.6729999999999998E-2</v>
      </c>
      <c r="M461">
        <f t="shared" si="7"/>
        <v>0.42020999999999997</v>
      </c>
    </row>
    <row r="462" spans="1:13" x14ac:dyDescent="0.3">
      <c r="A462" s="15"/>
      <c r="B462" s="1" t="s">
        <v>12</v>
      </c>
      <c r="C462" s="1">
        <v>2614.5300000000002</v>
      </c>
      <c r="D462" s="30">
        <v>0.20305000000000001</v>
      </c>
      <c r="E462" s="5">
        <v>1.8608800000000001E-3</v>
      </c>
      <c r="M462">
        <f t="shared" si="7"/>
        <v>0.20305000000000001</v>
      </c>
    </row>
    <row r="463" spans="1:13" x14ac:dyDescent="0.3">
      <c r="A463" s="15"/>
      <c r="B463" s="1"/>
      <c r="C463" s="1">
        <v>583.19000000000005</v>
      </c>
      <c r="D463" s="30">
        <v>0.64509000000000005</v>
      </c>
      <c r="E463" s="6">
        <v>8.4661500000000004E-3</v>
      </c>
      <c r="M463">
        <f t="shared" si="7"/>
        <v>0.64509000000000005</v>
      </c>
    </row>
    <row r="464" spans="1:13" x14ac:dyDescent="0.3">
      <c r="A464" s="15"/>
      <c r="B464" s="1"/>
      <c r="C464" s="1">
        <v>510.77</v>
      </c>
      <c r="D464" s="30">
        <v>0.21481</v>
      </c>
      <c r="E464" s="5">
        <v>8.3003199999999999E-3</v>
      </c>
      <c r="M464">
        <f t="shared" si="7"/>
        <v>0.21481</v>
      </c>
    </row>
    <row r="465" spans="1:13" x14ac:dyDescent="0.3">
      <c r="A465" s="15"/>
      <c r="B465" s="1"/>
      <c r="C465" s="1">
        <v>860.56</v>
      </c>
      <c r="D465" s="30">
        <v>7.0809999999999998E-2</v>
      </c>
      <c r="E465" s="5">
        <v>4.9336299999999996E-3</v>
      </c>
      <c r="M465">
        <f t="shared" si="7"/>
        <v>7.0809999999999998E-2</v>
      </c>
    </row>
    <row r="466" spans="1:13" x14ac:dyDescent="0.3">
      <c r="A466" s="15">
        <v>40</v>
      </c>
      <c r="B466" s="1" t="s">
        <v>7</v>
      </c>
      <c r="C466" s="1">
        <v>351.93</v>
      </c>
      <c r="D466" s="30">
        <v>0.39842</v>
      </c>
      <c r="E466" s="5">
        <v>8.5216800000000002E-3</v>
      </c>
      <c r="M466">
        <f t="shared" si="7"/>
        <v>0.39842</v>
      </c>
    </row>
    <row r="467" spans="1:13" x14ac:dyDescent="0.3">
      <c r="A467" s="15"/>
      <c r="B467" s="1"/>
      <c r="C467" s="1">
        <v>295.22000000000003</v>
      </c>
      <c r="D467" s="30">
        <v>0.2392</v>
      </c>
      <c r="E467" s="4">
        <v>1.0840000000000001E-2</v>
      </c>
      <c r="M467">
        <f t="shared" si="7"/>
        <v>0.2392</v>
      </c>
    </row>
    <row r="468" spans="1:13" x14ac:dyDescent="0.3">
      <c r="A468" s="15"/>
      <c r="B468" s="1" t="s">
        <v>8</v>
      </c>
      <c r="C468" s="1">
        <v>609.32000000000005</v>
      </c>
      <c r="D468" s="30">
        <v>0.27850000000000003</v>
      </c>
      <c r="E468" s="5">
        <v>5.7512400000000003E-3</v>
      </c>
      <c r="M468">
        <f t="shared" si="7"/>
        <v>0.27850000000000003</v>
      </c>
    </row>
    <row r="469" spans="1:13" x14ac:dyDescent="0.3">
      <c r="A469" s="15"/>
      <c r="B469" s="1"/>
      <c r="C469" s="1">
        <v>1764.49</v>
      </c>
      <c r="D469" s="30">
        <v>3.9669999999999997E-2</v>
      </c>
      <c r="E469" s="5">
        <v>2.44722E-3</v>
      </c>
      <c r="M469">
        <f t="shared" si="7"/>
        <v>3.9669999999999997E-2</v>
      </c>
    </row>
    <row r="470" spans="1:13" x14ac:dyDescent="0.3">
      <c r="A470" s="15"/>
      <c r="B470" s="1"/>
      <c r="C470" s="1">
        <v>1120.29</v>
      </c>
      <c r="D470" s="30">
        <v>5.3719999999999997E-2</v>
      </c>
      <c r="E470" s="5">
        <v>3.2911799999999999E-3</v>
      </c>
      <c r="M470">
        <f t="shared" si="7"/>
        <v>5.3719999999999997E-2</v>
      </c>
    </row>
    <row r="471" spans="1:13" x14ac:dyDescent="0.3">
      <c r="A471" s="15"/>
      <c r="B471" s="1" t="s">
        <v>9</v>
      </c>
      <c r="C471" s="1">
        <v>1460.82</v>
      </c>
      <c r="D471" s="30">
        <v>2.9929999999999998E-2</v>
      </c>
      <c r="E471" s="5">
        <v>2.8365999999999999E-3</v>
      </c>
      <c r="M471">
        <f t="shared" si="7"/>
        <v>2.9929999999999998E-2</v>
      </c>
    </row>
    <row r="472" spans="1:13" x14ac:dyDescent="0.3">
      <c r="A472" s="15"/>
      <c r="B472" s="1" t="s">
        <v>10</v>
      </c>
      <c r="C472" s="1">
        <v>238.63</v>
      </c>
      <c r="D472" s="30">
        <v>1.1232800000000001</v>
      </c>
      <c r="E472" s="4">
        <v>1.6639999999999999E-2</v>
      </c>
      <c r="M472">
        <f t="shared" si="7"/>
        <v>1.1232800000000001</v>
      </c>
    </row>
    <row r="473" spans="1:13" x14ac:dyDescent="0.3">
      <c r="A473" s="15"/>
      <c r="B473" s="1" t="s">
        <v>11</v>
      </c>
      <c r="C473" s="1">
        <v>911.21</v>
      </c>
      <c r="D473" s="30">
        <v>0.23102</v>
      </c>
      <c r="E473" s="5">
        <v>4.2979999999999997E-3</v>
      </c>
      <c r="M473">
        <f t="shared" si="7"/>
        <v>0.23102</v>
      </c>
    </row>
    <row r="474" spans="1:13" x14ac:dyDescent="0.3">
      <c r="A474" s="15"/>
      <c r="B474" s="1"/>
      <c r="C474" s="1">
        <v>968.97</v>
      </c>
      <c r="D474" s="30">
        <v>0.13419</v>
      </c>
      <c r="E474" s="5">
        <v>4.3996599999999997E-3</v>
      </c>
      <c r="M474">
        <f t="shared" si="7"/>
        <v>0.13419</v>
      </c>
    </row>
    <row r="475" spans="1:13" x14ac:dyDescent="0.3">
      <c r="A475" s="15"/>
      <c r="B475" s="1"/>
      <c r="C475" s="1">
        <v>338.32</v>
      </c>
      <c r="D475" s="30">
        <v>0.24865000000000001</v>
      </c>
      <c r="E475" s="4">
        <v>1.2880000000000001E-2</v>
      </c>
      <c r="M475">
        <f t="shared" si="7"/>
        <v>0.24865000000000001</v>
      </c>
    </row>
    <row r="476" spans="1:13" x14ac:dyDescent="0.3">
      <c r="A476" s="15"/>
      <c r="B476" s="1" t="s">
        <v>12</v>
      </c>
      <c r="C476" s="1">
        <v>2614.5300000000002</v>
      </c>
      <c r="D476" s="30">
        <v>0.11408</v>
      </c>
      <c r="E476" s="5">
        <v>2.0722599999999998E-3</v>
      </c>
      <c r="M476">
        <f t="shared" si="7"/>
        <v>0.11408</v>
      </c>
    </row>
    <row r="477" spans="1:13" x14ac:dyDescent="0.3">
      <c r="A477" s="15"/>
      <c r="B477" s="1"/>
      <c r="C477" s="1">
        <v>583.19000000000005</v>
      </c>
      <c r="D477" s="30">
        <v>0.36353000000000002</v>
      </c>
      <c r="E477" s="5">
        <v>6.2314600000000003E-3</v>
      </c>
      <c r="M477">
        <f t="shared" si="7"/>
        <v>0.36353000000000002</v>
      </c>
    </row>
    <row r="478" spans="1:13" x14ac:dyDescent="0.3">
      <c r="A478" s="15"/>
      <c r="B478" s="1"/>
      <c r="C478" s="1">
        <v>510.77</v>
      </c>
      <c r="D478" s="30">
        <v>0.12726000000000001</v>
      </c>
      <c r="E478" s="5">
        <v>8.1046199999999999E-3</v>
      </c>
      <c r="M478">
        <f t="shared" si="7"/>
        <v>0.12726000000000001</v>
      </c>
    </row>
    <row r="479" spans="1:13" x14ac:dyDescent="0.3">
      <c r="A479" s="15"/>
      <c r="B479" s="1"/>
      <c r="C479" s="1">
        <v>860.56</v>
      </c>
      <c r="D479" s="30">
        <v>4.0570000000000002E-2</v>
      </c>
      <c r="E479" s="5">
        <v>4.0449600000000002E-3</v>
      </c>
      <c r="M479">
        <f t="shared" si="7"/>
        <v>4.0570000000000002E-2</v>
      </c>
    </row>
    <row r="480" spans="1:13" x14ac:dyDescent="0.3">
      <c r="A480" s="21">
        <v>42</v>
      </c>
      <c r="B480" s="1" t="s">
        <v>7</v>
      </c>
      <c r="C480" s="1">
        <v>351.93</v>
      </c>
      <c r="D480" s="30">
        <v>2.1950000000000001E-2</v>
      </c>
      <c r="E480" s="5">
        <v>2.8593099999999999E-3</v>
      </c>
      <c r="M480">
        <f t="shared" si="7"/>
        <v>2.1950000000000001E-2</v>
      </c>
    </row>
    <row r="481" spans="1:13" x14ac:dyDescent="0.3">
      <c r="A481" s="15"/>
      <c r="B481" s="1"/>
      <c r="C481" s="1">
        <v>295.22000000000003</v>
      </c>
      <c r="D481" s="33">
        <v>1.49E-2</v>
      </c>
      <c r="E481" s="7">
        <v>3.6244300000000001E-3</v>
      </c>
      <c r="M481">
        <f t="shared" si="7"/>
        <v>1.49E-2</v>
      </c>
    </row>
    <row r="482" spans="1:13" x14ac:dyDescent="0.3">
      <c r="A482" s="15"/>
      <c r="B482" s="1" t="s">
        <v>8</v>
      </c>
      <c r="C482" s="1">
        <v>609.32000000000005</v>
      </c>
      <c r="D482" s="29">
        <v>1.7829999999999999E-2</v>
      </c>
      <c r="E482" s="5">
        <v>2.2868799999999998E-3</v>
      </c>
      <c r="M482">
        <f t="shared" si="7"/>
        <v>1.7829999999999999E-2</v>
      </c>
    </row>
    <row r="483" spans="1:13" x14ac:dyDescent="0.3">
      <c r="A483" s="15"/>
      <c r="B483" s="1"/>
      <c r="C483" s="1">
        <v>1764.49</v>
      </c>
      <c r="D483" s="31">
        <v>1.90830605E-3</v>
      </c>
      <c r="E483" s="5">
        <v>1.1914E-3</v>
      </c>
      <c r="M483">
        <f t="shared" si="7"/>
        <v>1.90830605E-3</v>
      </c>
    </row>
    <row r="484" spans="1:13" x14ac:dyDescent="0.3">
      <c r="A484" s="15"/>
      <c r="B484" s="1"/>
      <c r="C484" s="22">
        <v>1120.29</v>
      </c>
      <c r="D484" s="34">
        <v>2.58269194E-3</v>
      </c>
      <c r="E484" s="7">
        <v>1.5017299999999999E-3</v>
      </c>
      <c r="M484">
        <f t="shared" si="7"/>
        <v>2.58269194E-3</v>
      </c>
    </row>
    <row r="485" spans="1:13" x14ac:dyDescent="0.3">
      <c r="A485" s="15"/>
      <c r="B485" s="1" t="s">
        <v>9</v>
      </c>
      <c r="C485" s="1">
        <v>1460.82</v>
      </c>
      <c r="D485" s="34">
        <v>6.7985768E-3</v>
      </c>
      <c r="E485" s="5">
        <v>1.1358500000000001E-3</v>
      </c>
      <c r="M485">
        <f t="shared" si="7"/>
        <v>6.7985768E-3</v>
      </c>
    </row>
    <row r="486" spans="1:13" x14ac:dyDescent="0.3">
      <c r="A486" s="15"/>
      <c r="B486" s="1" t="s">
        <v>10</v>
      </c>
      <c r="C486" s="1">
        <v>238.63</v>
      </c>
      <c r="D486" s="30">
        <v>4.648E-2</v>
      </c>
      <c r="E486" s="5">
        <v>4.5273900000000001E-3</v>
      </c>
      <c r="M486">
        <f t="shared" si="7"/>
        <v>4.648E-2</v>
      </c>
    </row>
    <row r="487" spans="1:13" x14ac:dyDescent="0.3">
      <c r="A487" s="15"/>
      <c r="B487" s="1" t="s">
        <v>11</v>
      </c>
      <c r="C487" s="1">
        <v>911.21</v>
      </c>
      <c r="D487" s="31">
        <v>9.8420512999999998E-3</v>
      </c>
      <c r="E487" s="5">
        <v>1.8821300000000001E-3</v>
      </c>
      <c r="M487">
        <f t="shared" si="7"/>
        <v>9.8420512999999998E-3</v>
      </c>
    </row>
    <row r="488" spans="1:13" x14ac:dyDescent="0.3">
      <c r="A488" s="15"/>
      <c r="B488" s="1"/>
      <c r="C488" s="1">
        <v>968.97</v>
      </c>
      <c r="D488" s="31">
        <v>4.9681381299999999E-3</v>
      </c>
      <c r="E488" s="5">
        <v>1.6864E-3</v>
      </c>
      <c r="M488">
        <f t="shared" si="7"/>
        <v>4.9681381299999999E-3</v>
      </c>
    </row>
    <row r="489" spans="1:13" x14ac:dyDescent="0.3">
      <c r="A489" s="15"/>
      <c r="B489" s="1"/>
      <c r="C489" s="1">
        <v>338.32</v>
      </c>
      <c r="D489" s="31">
        <v>8.3709786200000004E-3</v>
      </c>
      <c r="E489" s="5">
        <v>3.08859E-3</v>
      </c>
      <c r="M489">
        <f t="shared" si="7"/>
        <v>8.3709786200000004E-3</v>
      </c>
    </row>
    <row r="490" spans="1:13" x14ac:dyDescent="0.3">
      <c r="A490" s="15"/>
      <c r="B490" s="1" t="s">
        <v>12</v>
      </c>
      <c r="C490" s="1">
        <v>2614.5300000000002</v>
      </c>
      <c r="D490" s="34">
        <v>7.7533393400000001E-3</v>
      </c>
      <c r="E490" s="7">
        <v>1.25102E-3</v>
      </c>
      <c r="M490">
        <f t="shared" si="7"/>
        <v>7.7533393400000001E-3</v>
      </c>
    </row>
    <row r="491" spans="1:13" x14ac:dyDescent="0.3">
      <c r="A491" s="15"/>
      <c r="B491" s="1"/>
      <c r="C491" s="1">
        <v>583.19000000000005</v>
      </c>
      <c r="D491" s="30">
        <v>1.584E-2</v>
      </c>
      <c r="E491" s="5">
        <v>2.2499899999999999E-3</v>
      </c>
      <c r="M491">
        <f t="shared" si="7"/>
        <v>1.584E-2</v>
      </c>
    </row>
    <row r="492" spans="1:13" x14ac:dyDescent="0.3">
      <c r="A492" s="15"/>
      <c r="B492" s="1"/>
      <c r="C492" s="1">
        <v>510.77</v>
      </c>
      <c r="D492" s="30">
        <v>2.6960000000000001E-2</v>
      </c>
      <c r="E492" s="5">
        <v>2.6902100000000002E-3</v>
      </c>
      <c r="M492">
        <f t="shared" si="7"/>
        <v>2.6960000000000001E-2</v>
      </c>
    </row>
    <row r="493" spans="1:13" x14ac:dyDescent="0.3">
      <c r="A493" s="15"/>
      <c r="B493" s="1"/>
      <c r="C493" s="1">
        <v>860.56</v>
      </c>
      <c r="D493" s="20">
        <v>8.8926908100000004E-4</v>
      </c>
      <c r="E493" s="7">
        <v>1.6267899999999999E-3</v>
      </c>
      <c r="M493">
        <f t="shared" si="7"/>
        <v>1.6267899999999999E-3</v>
      </c>
    </row>
    <row r="494" spans="1:13" x14ac:dyDescent="0.3">
      <c r="A494" s="21">
        <v>43</v>
      </c>
      <c r="B494" s="1" t="s">
        <v>7</v>
      </c>
      <c r="C494" s="1">
        <v>351.93</v>
      </c>
      <c r="D494" s="29">
        <v>5.1819999999999998E-2</v>
      </c>
      <c r="E494" s="5">
        <v>3.57012E-3</v>
      </c>
      <c r="M494">
        <f t="shared" si="7"/>
        <v>5.1819999999999998E-2</v>
      </c>
    </row>
    <row r="495" spans="1:13" x14ac:dyDescent="0.3">
      <c r="A495" s="15"/>
      <c r="B495" s="1"/>
      <c r="C495" s="1">
        <v>295.22000000000003</v>
      </c>
      <c r="D495" s="29">
        <v>3.3239999999999999E-2</v>
      </c>
      <c r="E495" s="5">
        <v>4.9976200000000004E-3</v>
      </c>
      <c r="M495">
        <f t="shared" si="7"/>
        <v>3.3239999999999999E-2</v>
      </c>
    </row>
    <row r="496" spans="1:13" x14ac:dyDescent="0.3">
      <c r="A496" s="15"/>
      <c r="B496" s="1" t="s">
        <v>8</v>
      </c>
      <c r="C496" s="1">
        <v>609.32000000000005</v>
      </c>
      <c r="D496" s="29">
        <v>3.7260000000000001E-2</v>
      </c>
      <c r="E496" s="5">
        <v>2.6542800000000002E-3</v>
      </c>
      <c r="M496">
        <f t="shared" si="7"/>
        <v>3.7260000000000001E-2</v>
      </c>
    </row>
    <row r="497" spans="1:13" x14ac:dyDescent="0.3">
      <c r="A497" s="15"/>
      <c r="B497" s="1"/>
      <c r="C497" s="1">
        <v>1764.49</v>
      </c>
      <c r="D497" s="35">
        <v>5.4487603799999998E-3</v>
      </c>
      <c r="E497" s="7">
        <v>1.34716E-3</v>
      </c>
      <c r="M497">
        <f t="shared" si="7"/>
        <v>5.4487603799999998E-3</v>
      </c>
    </row>
    <row r="498" spans="1:13" x14ac:dyDescent="0.3">
      <c r="A498" s="15"/>
      <c r="B498" s="1"/>
      <c r="C498" s="1">
        <v>1120.29</v>
      </c>
      <c r="D498" s="34">
        <v>3.5154031400000002E-3</v>
      </c>
      <c r="E498" s="6">
        <v>1.8266000000000001E-3</v>
      </c>
      <c r="M498">
        <f t="shared" si="7"/>
        <v>3.5154031400000002E-3</v>
      </c>
    </row>
    <row r="499" spans="1:13" x14ac:dyDescent="0.3">
      <c r="A499" s="15"/>
      <c r="B499" s="1" t="s">
        <v>9</v>
      </c>
      <c r="C499" s="1">
        <v>1460.82</v>
      </c>
      <c r="D499" s="29">
        <v>1.035E-2</v>
      </c>
      <c r="E499" s="5">
        <v>1.5282200000000001E-3</v>
      </c>
      <c r="M499">
        <f t="shared" si="7"/>
        <v>1.035E-2</v>
      </c>
    </row>
    <row r="500" spans="1:13" x14ac:dyDescent="0.3">
      <c r="A500" s="15"/>
      <c r="B500" s="1" t="s">
        <v>10</v>
      </c>
      <c r="C500" s="1">
        <v>238.63</v>
      </c>
      <c r="D500" s="29">
        <v>0.11065999999999999</v>
      </c>
      <c r="E500" s="5">
        <v>5.6380299999999996E-3</v>
      </c>
      <c r="M500">
        <f t="shared" si="7"/>
        <v>0.11065999999999999</v>
      </c>
    </row>
    <row r="501" spans="1:13" x14ac:dyDescent="0.3">
      <c r="A501" s="15"/>
      <c r="B501" s="1" t="s">
        <v>11</v>
      </c>
      <c r="C501" s="1">
        <v>911.21</v>
      </c>
      <c r="D501" s="29">
        <v>2.444E-2</v>
      </c>
      <c r="E501" s="5">
        <v>1.9647599999999999E-3</v>
      </c>
      <c r="M501">
        <f t="shared" si="7"/>
        <v>2.444E-2</v>
      </c>
    </row>
    <row r="502" spans="1:13" x14ac:dyDescent="0.3">
      <c r="A502" s="15"/>
      <c r="B502" s="1"/>
      <c r="C502" s="1">
        <v>968.97</v>
      </c>
      <c r="D502" s="29">
        <v>1.354E-2</v>
      </c>
      <c r="E502" s="5">
        <v>2.4248500000000001E-3</v>
      </c>
      <c r="M502">
        <f t="shared" si="7"/>
        <v>1.354E-2</v>
      </c>
    </row>
    <row r="503" spans="1:13" x14ac:dyDescent="0.3">
      <c r="A503" s="15"/>
      <c r="B503" s="1"/>
      <c r="C503" s="1">
        <v>338.32</v>
      </c>
      <c r="D503" s="29">
        <v>2.2110000000000001E-2</v>
      </c>
      <c r="E503" s="5">
        <v>3.6298099999999998E-3</v>
      </c>
      <c r="M503">
        <f t="shared" si="7"/>
        <v>2.2110000000000001E-2</v>
      </c>
    </row>
    <row r="504" spans="1:13" x14ac:dyDescent="0.3">
      <c r="A504" s="15"/>
      <c r="B504" s="1" t="s">
        <v>12</v>
      </c>
      <c r="C504" s="1">
        <v>2614.5300000000002</v>
      </c>
      <c r="D504" s="34">
        <v>4.9222755599999998E-3</v>
      </c>
      <c r="E504" s="7">
        <v>2.3395999999999998E-3</v>
      </c>
      <c r="M504">
        <f t="shared" si="7"/>
        <v>4.9222755599999998E-3</v>
      </c>
    </row>
    <row r="505" spans="1:13" x14ac:dyDescent="0.3">
      <c r="A505" s="15"/>
      <c r="B505" s="1"/>
      <c r="C505" s="1">
        <v>583.19000000000005</v>
      </c>
      <c r="D505" s="30">
        <v>3.5700000000000003E-2</v>
      </c>
      <c r="E505" s="5">
        <v>2.9073599999999999E-3</v>
      </c>
      <c r="M505">
        <f t="shared" si="7"/>
        <v>3.5700000000000003E-2</v>
      </c>
    </row>
    <row r="506" spans="1:13" x14ac:dyDescent="0.3">
      <c r="A506" s="15"/>
      <c r="B506" s="1"/>
      <c r="C506" s="1">
        <v>510.77</v>
      </c>
      <c r="D506" s="29">
        <v>2.9239999999999999E-2</v>
      </c>
      <c r="E506" s="7">
        <v>3.0725000000000001E-3</v>
      </c>
      <c r="M506">
        <f t="shared" si="7"/>
        <v>2.9239999999999999E-2</v>
      </c>
    </row>
    <row r="507" spans="1:13" x14ac:dyDescent="0.3">
      <c r="A507" s="15"/>
      <c r="B507" s="1"/>
      <c r="C507" s="1">
        <v>860.56</v>
      </c>
      <c r="D507" s="5">
        <v>1.7510442399999999E-3</v>
      </c>
      <c r="E507" s="5">
        <v>2.0059100000000001E-3</v>
      </c>
      <c r="M507">
        <f t="shared" si="7"/>
        <v>2.0059100000000001E-3</v>
      </c>
    </row>
    <row r="508" spans="1:13" x14ac:dyDescent="0.3">
      <c r="A508" s="21">
        <v>44</v>
      </c>
      <c r="B508" s="1" t="s">
        <v>7</v>
      </c>
      <c r="C508" s="1">
        <v>351.93</v>
      </c>
      <c r="D508" s="30">
        <v>6.6589999999999996E-2</v>
      </c>
      <c r="E508" s="6">
        <v>4.09538E-3</v>
      </c>
      <c r="M508">
        <f t="shared" si="7"/>
        <v>6.6589999999999996E-2</v>
      </c>
    </row>
    <row r="509" spans="1:13" x14ac:dyDescent="0.3">
      <c r="A509" s="15"/>
      <c r="B509" s="1"/>
      <c r="C509" s="1">
        <v>295.22000000000003</v>
      </c>
      <c r="D509" s="30">
        <v>3.9550000000000002E-2</v>
      </c>
      <c r="E509" s="5">
        <v>5.5119100000000001E-3</v>
      </c>
      <c r="M509">
        <f t="shared" si="7"/>
        <v>3.9550000000000002E-2</v>
      </c>
    </row>
    <row r="510" spans="1:13" x14ac:dyDescent="0.3">
      <c r="A510" s="15"/>
      <c r="B510" s="1" t="s">
        <v>8</v>
      </c>
      <c r="C510" s="1">
        <v>609.32000000000005</v>
      </c>
      <c r="D510" s="33">
        <v>4.7309999999999998E-2</v>
      </c>
      <c r="E510" s="5">
        <v>3.19856E-3</v>
      </c>
      <c r="M510">
        <f t="shared" si="7"/>
        <v>4.7309999999999998E-2</v>
      </c>
    </row>
    <row r="511" spans="1:13" x14ac:dyDescent="0.3">
      <c r="A511" s="15"/>
      <c r="B511" s="1"/>
      <c r="C511" s="22">
        <v>1764.49</v>
      </c>
      <c r="D511" s="34">
        <v>2.28049099E-3</v>
      </c>
      <c r="E511" s="7">
        <v>1.8796399999999999E-3</v>
      </c>
      <c r="M511">
        <f t="shared" si="7"/>
        <v>2.28049099E-3</v>
      </c>
    </row>
    <row r="512" spans="1:13" x14ac:dyDescent="0.3">
      <c r="A512" s="15"/>
      <c r="B512" s="1"/>
      <c r="C512" s="1">
        <v>1120.29</v>
      </c>
      <c r="D512" s="32">
        <v>8.3386475899999996E-3</v>
      </c>
      <c r="E512" s="7">
        <v>2.0519100000000001E-3</v>
      </c>
      <c r="M512">
        <f t="shared" si="7"/>
        <v>8.3386475899999996E-3</v>
      </c>
    </row>
    <row r="513" spans="1:13" x14ac:dyDescent="0.3">
      <c r="A513" s="15"/>
      <c r="B513" s="1" t="s">
        <v>9</v>
      </c>
      <c r="C513" s="1">
        <v>1460.82</v>
      </c>
      <c r="D513" s="29">
        <v>1.796E-2</v>
      </c>
      <c r="E513" s="7">
        <v>1.86966E-3</v>
      </c>
      <c r="M513">
        <f t="shared" si="7"/>
        <v>1.796E-2</v>
      </c>
    </row>
    <row r="514" spans="1:13" x14ac:dyDescent="0.3">
      <c r="A514" s="15"/>
      <c r="B514" s="1" t="s">
        <v>10</v>
      </c>
      <c r="C514" s="1">
        <v>238.63</v>
      </c>
      <c r="D514" s="30">
        <v>0.15770000000000001</v>
      </c>
      <c r="E514" s="5">
        <v>6.4613200000000004E-3</v>
      </c>
      <c r="M514">
        <f t="shared" si="7"/>
        <v>0.15770000000000001</v>
      </c>
    </row>
    <row r="515" spans="1:13" x14ac:dyDescent="0.3">
      <c r="A515" s="15"/>
      <c r="B515" s="1" t="s">
        <v>11</v>
      </c>
      <c r="C515" s="1">
        <v>911.21</v>
      </c>
      <c r="D515" s="30">
        <v>3.3009999999999998E-2</v>
      </c>
      <c r="E515" s="5">
        <v>2.3351299999999999E-3</v>
      </c>
      <c r="M515">
        <f t="shared" si="7"/>
        <v>3.3009999999999998E-2</v>
      </c>
    </row>
    <row r="516" spans="1:13" x14ac:dyDescent="0.3">
      <c r="A516" s="15"/>
      <c r="B516" s="1"/>
      <c r="C516" s="1">
        <v>968.97</v>
      </c>
      <c r="D516" s="29">
        <v>1.6459999999999999E-2</v>
      </c>
      <c r="E516" s="7">
        <v>2.8137000000000001E-3</v>
      </c>
      <c r="M516">
        <f t="shared" si="7"/>
        <v>1.6459999999999999E-2</v>
      </c>
    </row>
    <row r="517" spans="1:13" x14ac:dyDescent="0.3">
      <c r="A517" s="15"/>
      <c r="B517" s="1"/>
      <c r="C517" s="1">
        <v>338.32</v>
      </c>
      <c r="D517" s="33">
        <v>3.526E-2</v>
      </c>
      <c r="E517" s="5">
        <v>4.1213300000000003E-3</v>
      </c>
      <c r="M517">
        <f t="shared" ref="M517:M549" si="8">MAX(D517:E517)</f>
        <v>3.526E-2</v>
      </c>
    </row>
    <row r="518" spans="1:13" x14ac:dyDescent="0.3">
      <c r="A518" s="15"/>
      <c r="B518" s="1" t="s">
        <v>12</v>
      </c>
      <c r="C518" s="1">
        <v>2614.5300000000002</v>
      </c>
      <c r="D518" s="34">
        <v>7.2193552000000003E-3</v>
      </c>
      <c r="E518" s="7">
        <v>2.3818799999999998E-3</v>
      </c>
      <c r="M518">
        <f t="shared" si="8"/>
        <v>7.2193552000000003E-3</v>
      </c>
    </row>
    <row r="519" spans="1:13" x14ac:dyDescent="0.3">
      <c r="A519" s="15"/>
      <c r="B519" s="1"/>
      <c r="C519" s="1">
        <v>583.19000000000005</v>
      </c>
      <c r="D519" s="29">
        <v>5.3900000000000003E-2</v>
      </c>
      <c r="E519" s="5">
        <v>3.1231000000000002E-3</v>
      </c>
      <c r="M519">
        <f t="shared" si="8"/>
        <v>5.3900000000000003E-2</v>
      </c>
    </row>
    <row r="520" spans="1:13" x14ac:dyDescent="0.3">
      <c r="A520" s="15"/>
      <c r="B520" s="1"/>
      <c r="C520" s="1">
        <v>510.77</v>
      </c>
      <c r="D520" s="30">
        <v>3.5139999999999998E-2</v>
      </c>
      <c r="E520" s="5">
        <v>3.2510500000000001E-3</v>
      </c>
      <c r="M520">
        <f t="shared" si="8"/>
        <v>3.5139999999999998E-2</v>
      </c>
    </row>
    <row r="521" spans="1:13" x14ac:dyDescent="0.3">
      <c r="A521" s="15"/>
      <c r="B521" s="1"/>
      <c r="C521" s="1">
        <v>860.56</v>
      </c>
      <c r="D521" s="32">
        <v>5.7516875299999997E-3</v>
      </c>
      <c r="E521" s="7">
        <v>1.8975999999999999E-3</v>
      </c>
      <c r="M521">
        <f t="shared" si="8"/>
        <v>5.7516875299999997E-3</v>
      </c>
    </row>
    <row r="522" spans="1:13" x14ac:dyDescent="0.3">
      <c r="A522" s="21">
        <v>45</v>
      </c>
      <c r="B522" s="1" t="s">
        <v>7</v>
      </c>
      <c r="C522" s="1">
        <v>351.93</v>
      </c>
      <c r="D522" s="30">
        <v>0.33435999999999999</v>
      </c>
      <c r="E522" s="5">
        <v>7.3123499999999996E-3</v>
      </c>
      <c r="M522">
        <f t="shared" si="8"/>
        <v>0.33435999999999999</v>
      </c>
    </row>
    <row r="523" spans="1:13" x14ac:dyDescent="0.3">
      <c r="A523" s="15"/>
      <c r="B523" s="1"/>
      <c r="C523" s="1">
        <v>295.22000000000003</v>
      </c>
      <c r="D523" s="30">
        <v>0.19383</v>
      </c>
      <c r="E523" s="4">
        <v>1.042E-2</v>
      </c>
      <c r="M523">
        <f t="shared" si="8"/>
        <v>0.19383</v>
      </c>
    </row>
    <row r="524" spans="1:13" x14ac:dyDescent="0.3">
      <c r="A524" s="15"/>
      <c r="B524" s="1" t="s">
        <v>8</v>
      </c>
      <c r="C524" s="1">
        <v>609.32000000000005</v>
      </c>
      <c r="D524" s="30">
        <v>0.22724</v>
      </c>
      <c r="E524" s="5">
        <v>5.0467799999999998E-3</v>
      </c>
      <c r="M524">
        <f t="shared" si="8"/>
        <v>0.22724</v>
      </c>
    </row>
    <row r="525" spans="1:13" x14ac:dyDescent="0.3">
      <c r="A525" s="15"/>
      <c r="B525" s="1"/>
      <c r="C525" s="1">
        <v>1764.49</v>
      </c>
      <c r="D525" s="33">
        <v>3.4360000000000002E-2</v>
      </c>
      <c r="E525" s="5">
        <v>1.9813299999999999E-3</v>
      </c>
      <c r="M525">
        <f t="shared" si="8"/>
        <v>3.4360000000000002E-2</v>
      </c>
    </row>
    <row r="526" spans="1:13" x14ac:dyDescent="0.3">
      <c r="A526" s="15"/>
      <c r="B526" s="1"/>
      <c r="C526" s="1">
        <v>1120.29</v>
      </c>
      <c r="D526" s="30">
        <v>4.5760000000000002E-2</v>
      </c>
      <c r="E526" s="5">
        <v>2.9299E-3</v>
      </c>
      <c r="M526">
        <f t="shared" si="8"/>
        <v>4.5760000000000002E-2</v>
      </c>
    </row>
    <row r="527" spans="1:13" x14ac:dyDescent="0.3">
      <c r="A527" s="15"/>
      <c r="B527" s="1" t="s">
        <v>9</v>
      </c>
      <c r="C527" s="1">
        <v>1460.82</v>
      </c>
      <c r="D527" s="29">
        <v>3.8850000000000003E-2</v>
      </c>
      <c r="E527" s="5">
        <v>2.5840199999999998E-3</v>
      </c>
      <c r="M527">
        <f t="shared" si="8"/>
        <v>3.8850000000000003E-2</v>
      </c>
    </row>
    <row r="528" spans="1:13" x14ac:dyDescent="0.3">
      <c r="A528" s="15"/>
      <c r="B528" s="1" t="s">
        <v>10</v>
      </c>
      <c r="C528" s="1">
        <v>238.63</v>
      </c>
      <c r="D528" s="29">
        <v>0.89522000000000002</v>
      </c>
      <c r="E528" s="4">
        <v>1.1639999999999999E-2</v>
      </c>
      <c r="M528">
        <f t="shared" si="8"/>
        <v>0.89522000000000002</v>
      </c>
    </row>
    <row r="529" spans="1:13" x14ac:dyDescent="0.3">
      <c r="A529" s="15"/>
      <c r="B529" s="1" t="s">
        <v>11</v>
      </c>
      <c r="C529" s="1">
        <v>911.21</v>
      </c>
      <c r="D529" s="33">
        <v>0.16536000000000001</v>
      </c>
      <c r="E529" s="5">
        <v>4.823E-3</v>
      </c>
      <c r="M529">
        <f t="shared" si="8"/>
        <v>0.16536000000000001</v>
      </c>
    </row>
    <row r="530" spans="1:13" x14ac:dyDescent="0.3">
      <c r="A530" s="15"/>
      <c r="B530" s="1"/>
      <c r="C530" s="1">
        <v>968.97</v>
      </c>
      <c r="D530" s="30">
        <v>9.7619999999999998E-2</v>
      </c>
      <c r="E530" s="5">
        <v>4.2074800000000004E-3</v>
      </c>
      <c r="M530">
        <f t="shared" si="8"/>
        <v>9.7619999999999998E-2</v>
      </c>
    </row>
    <row r="531" spans="1:13" x14ac:dyDescent="0.3">
      <c r="A531" s="15"/>
      <c r="B531" s="1"/>
      <c r="C531" s="1">
        <v>338.32</v>
      </c>
      <c r="D531" s="33">
        <v>0.16536000000000001</v>
      </c>
      <c r="E531" s="5">
        <v>4.823E-3</v>
      </c>
      <c r="M531">
        <f t="shared" si="8"/>
        <v>0.16536000000000001</v>
      </c>
    </row>
    <row r="532" spans="1:13" x14ac:dyDescent="0.3">
      <c r="A532" s="15"/>
      <c r="B532" s="1" t="s">
        <v>12</v>
      </c>
      <c r="C532" s="1">
        <v>2614.5300000000002</v>
      </c>
      <c r="D532" s="30">
        <v>8.6019999999999999E-2</v>
      </c>
      <c r="E532" s="5">
        <v>1.47153E-3</v>
      </c>
      <c r="M532">
        <f t="shared" si="8"/>
        <v>8.6019999999999999E-2</v>
      </c>
    </row>
    <row r="533" spans="1:13" x14ac:dyDescent="0.3">
      <c r="A533" s="15"/>
      <c r="B533" s="1"/>
      <c r="C533" s="1">
        <v>583.19000000000005</v>
      </c>
      <c r="D533" s="30">
        <v>0.25302999999999998</v>
      </c>
      <c r="E533" s="5">
        <v>5.8415799999999999E-3</v>
      </c>
      <c r="M533">
        <f t="shared" si="8"/>
        <v>0.25302999999999998</v>
      </c>
    </row>
    <row r="534" spans="1:13" x14ac:dyDescent="0.3">
      <c r="A534" s="15"/>
      <c r="B534" s="1"/>
      <c r="C534" s="1">
        <v>510.77</v>
      </c>
      <c r="D534" s="30">
        <v>9.5280000000000004E-2</v>
      </c>
      <c r="E534" s="6">
        <v>5.9749699999999996E-3</v>
      </c>
      <c r="M534">
        <f t="shared" si="8"/>
        <v>9.5280000000000004E-2</v>
      </c>
    </row>
    <row r="535" spans="1:13" x14ac:dyDescent="0.3">
      <c r="A535" s="15"/>
      <c r="B535" s="1"/>
      <c r="C535" s="1">
        <v>860.56</v>
      </c>
      <c r="D535" s="33">
        <v>2.9049999999999999E-2</v>
      </c>
      <c r="E535" s="5">
        <v>3.9523099999999997E-3</v>
      </c>
      <c r="M535">
        <f t="shared" si="8"/>
        <v>2.9049999999999999E-2</v>
      </c>
    </row>
    <row r="536" spans="1:13" x14ac:dyDescent="0.3">
      <c r="A536" s="15">
        <v>46</v>
      </c>
      <c r="B536" s="1" t="s">
        <v>7</v>
      </c>
      <c r="C536" s="1">
        <v>351.93</v>
      </c>
      <c r="D536" s="29">
        <v>0.13285</v>
      </c>
      <c r="E536" s="5">
        <v>4.9751600000000002E-3</v>
      </c>
      <c r="M536">
        <f t="shared" si="8"/>
        <v>0.13285</v>
      </c>
    </row>
    <row r="537" spans="1:13" x14ac:dyDescent="0.3">
      <c r="A537" s="15"/>
      <c r="B537" s="1"/>
      <c r="C537" s="1">
        <v>295.22000000000003</v>
      </c>
      <c r="D537" s="29">
        <v>7.8189999999999996E-2</v>
      </c>
      <c r="E537" s="5">
        <v>7.0421099999999999E-3</v>
      </c>
      <c r="M537">
        <f t="shared" si="8"/>
        <v>7.8189999999999996E-2</v>
      </c>
    </row>
    <row r="538" spans="1:13" x14ac:dyDescent="0.3">
      <c r="A538" s="15"/>
      <c r="B538" s="1" t="s">
        <v>8</v>
      </c>
      <c r="C538" s="1">
        <v>609.32000000000005</v>
      </c>
      <c r="D538" s="29">
        <v>9.6119999999999997E-2</v>
      </c>
      <c r="E538" s="6">
        <v>3.74414E-3</v>
      </c>
      <c r="M538">
        <f t="shared" si="8"/>
        <v>9.6119999999999997E-2</v>
      </c>
    </row>
    <row r="539" spans="1:13" x14ac:dyDescent="0.3">
      <c r="A539" s="15"/>
      <c r="B539" s="1"/>
      <c r="C539" s="1">
        <v>1764.49</v>
      </c>
      <c r="D539" s="29">
        <v>1.342E-2</v>
      </c>
      <c r="E539" s="7">
        <v>1.67381E-3</v>
      </c>
      <c r="M539">
        <f t="shared" si="8"/>
        <v>1.342E-2</v>
      </c>
    </row>
    <row r="540" spans="1:13" x14ac:dyDescent="0.3">
      <c r="A540" s="15"/>
      <c r="B540" s="1"/>
      <c r="C540" s="1">
        <v>1120.29</v>
      </c>
      <c r="D540" s="29">
        <v>1.8280000000000001E-2</v>
      </c>
      <c r="E540" s="5">
        <v>2.4726700000000002E-3</v>
      </c>
      <c r="M540">
        <f t="shared" si="8"/>
        <v>1.8280000000000001E-2</v>
      </c>
    </row>
    <row r="541" spans="1:13" x14ac:dyDescent="0.3">
      <c r="A541" s="15"/>
      <c r="B541" s="1" t="s">
        <v>9</v>
      </c>
      <c r="C541" s="1">
        <v>1460.82</v>
      </c>
      <c r="D541" s="33">
        <v>2.699E-2</v>
      </c>
      <c r="E541" s="5">
        <v>1.9813299999999999E-3</v>
      </c>
      <c r="M541">
        <f t="shared" si="8"/>
        <v>2.699E-2</v>
      </c>
    </row>
    <row r="542" spans="1:13" x14ac:dyDescent="0.3">
      <c r="A542" s="15"/>
      <c r="B542" s="1" t="s">
        <v>10</v>
      </c>
      <c r="C542" s="1">
        <v>238.63</v>
      </c>
      <c r="D542" s="29">
        <v>0.29037000000000002</v>
      </c>
      <c r="E542" s="5">
        <v>7.5100999999999996E-3</v>
      </c>
      <c r="M542">
        <f t="shared" si="8"/>
        <v>0.29037000000000002</v>
      </c>
    </row>
    <row r="543" spans="1:13" x14ac:dyDescent="0.3">
      <c r="A543" s="15"/>
      <c r="B543" s="1" t="s">
        <v>11</v>
      </c>
      <c r="C543" s="1">
        <v>911.21</v>
      </c>
      <c r="D543" s="29">
        <v>5.595E-2</v>
      </c>
      <c r="E543" s="5">
        <v>2.6755500000000001E-3</v>
      </c>
      <c r="M543">
        <f t="shared" si="8"/>
        <v>5.595E-2</v>
      </c>
    </row>
    <row r="544" spans="1:13" x14ac:dyDescent="0.3">
      <c r="A544" s="15"/>
      <c r="B544" s="1"/>
      <c r="C544" s="1">
        <v>968.97</v>
      </c>
      <c r="D544" s="33">
        <v>3.1280000000000002E-2</v>
      </c>
      <c r="E544" s="5">
        <v>3.2340099999999998E-3</v>
      </c>
      <c r="M544">
        <f t="shared" si="8"/>
        <v>3.1280000000000002E-2</v>
      </c>
    </row>
    <row r="545" spans="1:13" x14ac:dyDescent="0.3">
      <c r="A545" s="15"/>
      <c r="B545" s="1"/>
      <c r="C545" s="1">
        <v>338.32</v>
      </c>
      <c r="D545" s="29">
        <v>6.1100000000000002E-2</v>
      </c>
      <c r="E545" s="5">
        <v>5.4978099999999997E-3</v>
      </c>
      <c r="M545">
        <f t="shared" si="8"/>
        <v>6.1100000000000002E-2</v>
      </c>
    </row>
    <row r="546" spans="1:13" x14ac:dyDescent="0.3">
      <c r="A546" s="15"/>
      <c r="B546" s="1" t="s">
        <v>12</v>
      </c>
      <c r="C546" s="1">
        <v>2614.5300000000002</v>
      </c>
      <c r="D546" s="29">
        <v>2.8899999999999999E-2</v>
      </c>
      <c r="E546" s="5">
        <v>1.1525999999999999E-3</v>
      </c>
      <c r="M546">
        <f t="shared" si="8"/>
        <v>2.8899999999999999E-2</v>
      </c>
    </row>
    <row r="547" spans="1:13" x14ac:dyDescent="0.3">
      <c r="A547" s="15"/>
      <c r="B547" s="1"/>
      <c r="C547" s="1">
        <v>583.19000000000005</v>
      </c>
      <c r="D547" s="29">
        <v>8.2960000000000006E-2</v>
      </c>
      <c r="E547" s="5">
        <v>3.4893599999999999E-3</v>
      </c>
      <c r="M547">
        <f t="shared" si="8"/>
        <v>8.2960000000000006E-2</v>
      </c>
    </row>
    <row r="548" spans="1:13" x14ac:dyDescent="0.3">
      <c r="A548" s="15"/>
      <c r="B548" s="1"/>
      <c r="C548" s="1">
        <v>510.77</v>
      </c>
      <c r="D548" s="29">
        <v>4.5719999999999997E-2</v>
      </c>
      <c r="E548" s="5">
        <v>4.2696499999999998E-3</v>
      </c>
      <c r="M548">
        <f t="shared" si="8"/>
        <v>4.5719999999999997E-2</v>
      </c>
    </row>
    <row r="549" spans="1:13" x14ac:dyDescent="0.3">
      <c r="A549" s="15"/>
      <c r="B549" s="1"/>
      <c r="C549" s="1">
        <v>860.56</v>
      </c>
      <c r="D549" s="34">
        <v>5.4005960199999996E-3</v>
      </c>
      <c r="E549" s="7">
        <v>2.4867000000000001E-3</v>
      </c>
      <c r="M549">
        <f t="shared" si="8"/>
        <v>5.4005960199999996E-3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547E-4A28-4282-99C5-A247F7E5F8C9}">
  <dimension ref="A1:AI561"/>
  <sheetViews>
    <sheetView topLeftCell="H1" zoomScale="53" workbookViewId="0">
      <selection activeCell="Q36" sqref="Q36"/>
    </sheetView>
  </sheetViews>
  <sheetFormatPr defaultRowHeight="14.4" x14ac:dyDescent="0.3"/>
  <cols>
    <col min="1" max="1" width="9" bestFit="1" customWidth="1"/>
    <col min="3" max="3" width="9" bestFit="1" customWidth="1"/>
    <col min="4" max="4" width="14.33203125" customWidth="1"/>
    <col min="5" max="5" width="13.44140625" customWidth="1"/>
    <col min="6" max="6" width="14.6640625" customWidth="1"/>
    <col min="9" max="10" width="13" customWidth="1"/>
    <col min="11" max="11" width="9" bestFit="1" customWidth="1"/>
    <col min="12" max="12" width="16.88671875" customWidth="1"/>
    <col min="13" max="13" width="11.6640625" customWidth="1"/>
    <col min="14" max="14" width="11.88671875" customWidth="1"/>
    <col min="20" max="20" width="9" bestFit="1" customWidth="1"/>
  </cols>
  <sheetData>
    <row r="1" spans="1:35" x14ac:dyDescent="0.3">
      <c r="A1" s="13" t="s">
        <v>1</v>
      </c>
      <c r="B1" s="8" t="s">
        <v>2</v>
      </c>
      <c r="C1" s="8" t="s">
        <v>3</v>
      </c>
      <c r="D1" s="8" t="s">
        <v>4</v>
      </c>
      <c r="F1" t="s">
        <v>35</v>
      </c>
      <c r="G1" s="8" t="s">
        <v>2</v>
      </c>
      <c r="H1" s="8" t="s">
        <v>3</v>
      </c>
      <c r="I1" s="8" t="s">
        <v>4</v>
      </c>
      <c r="K1" s="36" t="s">
        <v>35</v>
      </c>
      <c r="L1" s="36" t="s">
        <v>234</v>
      </c>
      <c r="N1" s="36" t="s">
        <v>235</v>
      </c>
      <c r="Q1" s="13" t="s">
        <v>1</v>
      </c>
      <c r="R1" s="8" t="s">
        <v>2</v>
      </c>
      <c r="S1" s="8" t="s">
        <v>4</v>
      </c>
      <c r="T1" s="36" t="s">
        <v>35</v>
      </c>
      <c r="U1" t="s">
        <v>239</v>
      </c>
      <c r="X1" t="s">
        <v>240</v>
      </c>
      <c r="AA1" t="s">
        <v>235</v>
      </c>
      <c r="AD1" t="s">
        <v>243</v>
      </c>
      <c r="AG1" t="s">
        <v>244</v>
      </c>
      <c r="AI1" t="s">
        <v>245</v>
      </c>
    </row>
    <row r="2" spans="1:35" x14ac:dyDescent="0.3">
      <c r="A2" s="14">
        <v>1</v>
      </c>
      <c r="B2" s="9" t="s">
        <v>7</v>
      </c>
      <c r="C2" s="9">
        <v>351.93</v>
      </c>
      <c r="D2" s="27">
        <v>0.19961000000000001</v>
      </c>
      <c r="F2" t="s">
        <v>36</v>
      </c>
      <c r="G2" s="9" t="s">
        <v>7</v>
      </c>
      <c r="H2" s="23">
        <v>351.93</v>
      </c>
      <c r="K2">
        <v>1</v>
      </c>
      <c r="L2">
        <f>D2-I2</f>
        <v>0.19961000000000001</v>
      </c>
      <c r="N2" t="s">
        <v>236</v>
      </c>
      <c r="O2">
        <v>1235.25</v>
      </c>
      <c r="Q2" s="14">
        <v>1</v>
      </c>
      <c r="R2" s="9" t="s">
        <v>9</v>
      </c>
      <c r="S2" s="9">
        <v>1.74254</v>
      </c>
      <c r="T2">
        <v>1</v>
      </c>
      <c r="U2">
        <f>(L2/Y2)*AA2</f>
        <v>35.771441327862959</v>
      </c>
      <c r="X2" s="9" t="s">
        <v>7</v>
      </c>
      <c r="Y2" s="11">
        <v>6.8928799999999999</v>
      </c>
      <c r="AA2">
        <v>1235.25</v>
      </c>
      <c r="AC2">
        <v>1</v>
      </c>
      <c r="AD2">
        <f>((U2*AI2)+(U3*AI3))/AI2+AI3</f>
        <v>53.638609952749164</v>
      </c>
      <c r="AG2" s="9" t="s">
        <v>7</v>
      </c>
      <c r="AH2">
        <v>35.72</v>
      </c>
      <c r="AI2">
        <f>AH2/100</f>
        <v>0.35719999999999996</v>
      </c>
    </row>
    <row r="3" spans="1:35" x14ac:dyDescent="0.3">
      <c r="A3" s="14"/>
      <c r="B3" s="9"/>
      <c r="C3" s="9">
        <v>295.22000000000003</v>
      </c>
      <c r="D3" s="28">
        <v>0.11296</v>
      </c>
      <c r="G3" s="9"/>
      <c r="H3" s="9">
        <v>295.22000000000003</v>
      </c>
      <c r="L3">
        <f t="shared" ref="L3:L15" si="0">D3-I3</f>
        <v>0.11296</v>
      </c>
      <c r="N3" t="s">
        <v>237</v>
      </c>
      <c r="O3">
        <v>812.5</v>
      </c>
      <c r="Q3" s="14">
        <v>2</v>
      </c>
      <c r="R3" s="9" t="s">
        <v>10</v>
      </c>
      <c r="S3" s="11">
        <v>7.7333699999999999</v>
      </c>
      <c r="U3">
        <f t="shared" ref="U3:U62" si="1">(L3/Y3)*AA3</f>
        <v>34.196956106168663</v>
      </c>
      <c r="X3" s="9"/>
      <c r="Y3" s="11">
        <v>4.0803000000000003</v>
      </c>
      <c r="AA3">
        <v>1235.25</v>
      </c>
      <c r="AG3" s="9"/>
      <c r="AH3">
        <v>18.47</v>
      </c>
      <c r="AI3">
        <f t="shared" ref="AI3:AI66" si="2">AH3/100</f>
        <v>0.18469999999999998</v>
      </c>
    </row>
    <row r="4" spans="1:35" x14ac:dyDescent="0.3">
      <c r="A4" s="14"/>
      <c r="B4" s="9" t="s">
        <v>8</v>
      </c>
      <c r="C4" s="9">
        <v>609.32000000000005</v>
      </c>
      <c r="D4" s="28">
        <v>0.14685000000000001</v>
      </c>
      <c r="E4" s="38"/>
      <c r="G4" s="9" t="s">
        <v>8</v>
      </c>
      <c r="H4" s="23">
        <v>609.32000000000005</v>
      </c>
      <c r="L4">
        <f t="shared" si="0"/>
        <v>0.14685000000000001</v>
      </c>
      <c r="N4" t="s">
        <v>238</v>
      </c>
      <c r="O4">
        <v>3545</v>
      </c>
      <c r="Q4" s="14"/>
      <c r="R4" s="9" t="s">
        <v>11</v>
      </c>
      <c r="S4" s="11">
        <v>1.39327</v>
      </c>
      <c r="U4">
        <f t="shared" si="1"/>
        <v>37.201136666598309</v>
      </c>
      <c r="X4" s="9" t="s">
        <v>8</v>
      </c>
      <c r="Y4" s="11">
        <v>4.8761000000000001</v>
      </c>
      <c r="AA4">
        <v>1235.25</v>
      </c>
      <c r="AG4" s="9" t="s">
        <v>8</v>
      </c>
      <c r="AH4">
        <v>45.44</v>
      </c>
      <c r="AI4">
        <f t="shared" si="2"/>
        <v>0.45439999999999997</v>
      </c>
    </row>
    <row r="5" spans="1:35" x14ac:dyDescent="0.3">
      <c r="A5" s="14"/>
      <c r="B5" s="9"/>
      <c r="C5" s="9">
        <v>1764.49</v>
      </c>
      <c r="D5" s="28">
        <v>2.392E-2</v>
      </c>
      <c r="E5" s="38"/>
      <c r="G5" s="9"/>
      <c r="H5" s="23">
        <v>1764.49</v>
      </c>
      <c r="L5">
        <f t="shared" si="0"/>
        <v>2.392E-2</v>
      </c>
      <c r="Q5" s="14"/>
      <c r="R5" s="9"/>
      <c r="S5" s="11">
        <v>0.80701000000000001</v>
      </c>
      <c r="U5">
        <f t="shared" si="1"/>
        <v>38.794154718764773</v>
      </c>
      <c r="X5" s="9"/>
      <c r="Y5" s="11">
        <v>0.76163999999999998</v>
      </c>
      <c r="AA5">
        <v>1235.25</v>
      </c>
      <c r="AG5" s="9"/>
      <c r="AH5">
        <v>15.29</v>
      </c>
      <c r="AI5">
        <f t="shared" si="2"/>
        <v>0.15289999999999998</v>
      </c>
    </row>
    <row r="6" spans="1:35" x14ac:dyDescent="0.3">
      <c r="A6" s="14"/>
      <c r="B6" s="9"/>
      <c r="C6" s="9">
        <v>1120.29</v>
      </c>
      <c r="D6" s="28">
        <v>2.972E-2</v>
      </c>
      <c r="E6" s="38"/>
      <c r="G6" s="9"/>
      <c r="H6" s="9">
        <v>1120.29</v>
      </c>
      <c r="L6">
        <f t="shared" si="0"/>
        <v>2.972E-2</v>
      </c>
      <c r="Q6" s="14"/>
      <c r="R6" s="9"/>
      <c r="S6" s="11">
        <v>1.42353</v>
      </c>
      <c r="U6">
        <f t="shared" si="1"/>
        <v>37.428383544884539</v>
      </c>
      <c r="X6" s="9"/>
      <c r="Y6" s="11">
        <v>0.98085</v>
      </c>
      <c r="AA6">
        <v>1235.25</v>
      </c>
      <c r="AG6" s="9"/>
      <c r="AH6">
        <v>14.9</v>
      </c>
      <c r="AI6">
        <f t="shared" si="2"/>
        <v>0.14899999999999999</v>
      </c>
    </row>
    <row r="7" spans="1:35" x14ac:dyDescent="0.3">
      <c r="A7" s="14"/>
      <c r="B7" s="9" t="s">
        <v>9</v>
      </c>
      <c r="C7" s="9">
        <v>1460.82</v>
      </c>
      <c r="D7" s="28">
        <v>1.426E-2</v>
      </c>
      <c r="E7" s="38"/>
      <c r="G7" s="9" t="s">
        <v>9</v>
      </c>
      <c r="H7" s="9">
        <v>1460.82</v>
      </c>
      <c r="I7" s="32">
        <v>4.0533735200000004E-3</v>
      </c>
      <c r="J7" s="25"/>
      <c r="L7">
        <f t="shared" si="0"/>
        <v>1.020662648E-2</v>
      </c>
      <c r="Q7" s="14"/>
      <c r="R7" s="9" t="s">
        <v>12</v>
      </c>
      <c r="S7" s="11">
        <v>0.70038999999999996</v>
      </c>
      <c r="X7" s="9" t="s">
        <v>9</v>
      </c>
      <c r="Y7" s="9">
        <v>1.74254</v>
      </c>
      <c r="AA7">
        <v>3545</v>
      </c>
      <c r="AG7" s="9" t="s">
        <v>9</v>
      </c>
      <c r="AH7">
        <v>10.66</v>
      </c>
      <c r="AI7">
        <f t="shared" si="2"/>
        <v>0.1066</v>
      </c>
    </row>
    <row r="8" spans="1:35" x14ac:dyDescent="0.3">
      <c r="A8" s="14"/>
      <c r="B8" s="9" t="s">
        <v>10</v>
      </c>
      <c r="C8" s="9">
        <v>238.63</v>
      </c>
      <c r="D8" s="27">
        <v>0.33118999999999998</v>
      </c>
      <c r="E8" s="38"/>
      <c r="G8" s="9" t="s">
        <v>10</v>
      </c>
      <c r="H8" s="9">
        <v>238.63</v>
      </c>
      <c r="L8">
        <f t="shared" si="0"/>
        <v>0.33118999999999998</v>
      </c>
      <c r="Q8" s="14"/>
      <c r="R8" s="9"/>
      <c r="S8" s="9">
        <v>2.15707</v>
      </c>
      <c r="X8" s="9" t="s">
        <v>10</v>
      </c>
      <c r="Y8" s="11">
        <v>7.7333699999999999</v>
      </c>
      <c r="AA8">
        <v>812.5</v>
      </c>
      <c r="AG8" s="9" t="s">
        <v>10</v>
      </c>
      <c r="AH8">
        <v>43.6</v>
      </c>
      <c r="AI8">
        <f t="shared" si="2"/>
        <v>0.436</v>
      </c>
    </row>
    <row r="9" spans="1:35" x14ac:dyDescent="0.3">
      <c r="A9" s="14"/>
      <c r="B9" s="9" t="s">
        <v>11</v>
      </c>
      <c r="C9" s="9">
        <v>911.21</v>
      </c>
      <c r="D9" s="28">
        <v>7.1859999999999993E-2</v>
      </c>
      <c r="E9" s="38"/>
      <c r="G9" s="9" t="s">
        <v>11</v>
      </c>
      <c r="H9" s="9">
        <v>911.21</v>
      </c>
      <c r="L9">
        <f t="shared" si="0"/>
        <v>7.1859999999999993E-2</v>
      </c>
      <c r="Q9" s="14"/>
      <c r="R9" s="9"/>
      <c r="S9" s="11">
        <v>0.67276999999999998</v>
      </c>
      <c r="X9" s="9" t="s">
        <v>11</v>
      </c>
      <c r="Y9" s="11">
        <v>1.39327</v>
      </c>
      <c r="AA9">
        <v>812.5</v>
      </c>
      <c r="AG9" s="9" t="s">
        <v>11</v>
      </c>
      <c r="AH9">
        <v>25.8</v>
      </c>
      <c r="AI9">
        <f t="shared" si="2"/>
        <v>0.25800000000000001</v>
      </c>
    </row>
    <row r="10" spans="1:35" x14ac:dyDescent="0.3">
      <c r="A10" s="14"/>
      <c r="B10" s="9"/>
      <c r="C10" s="9">
        <v>968.97</v>
      </c>
      <c r="D10" s="28">
        <v>4.5179999999999998E-2</v>
      </c>
      <c r="E10" s="38"/>
      <c r="G10" s="9"/>
      <c r="H10" s="9">
        <v>968.97</v>
      </c>
      <c r="L10">
        <f t="shared" si="0"/>
        <v>4.5179999999999998E-2</v>
      </c>
      <c r="Q10" s="14"/>
      <c r="R10" s="9"/>
      <c r="S10" s="11">
        <v>0.24462</v>
      </c>
      <c r="X10" s="9"/>
      <c r="Y10" s="11">
        <v>0.80701000000000001</v>
      </c>
      <c r="AA10">
        <v>812.5</v>
      </c>
      <c r="AG10" s="9"/>
      <c r="AH10">
        <v>15.8</v>
      </c>
      <c r="AI10">
        <f t="shared" si="2"/>
        <v>0.158</v>
      </c>
    </row>
    <row r="11" spans="1:35" x14ac:dyDescent="0.3">
      <c r="A11" s="14"/>
      <c r="B11" s="9"/>
      <c r="C11" s="9">
        <v>338.32</v>
      </c>
      <c r="D11" s="28">
        <v>7.0940000000000003E-2</v>
      </c>
      <c r="E11" s="38"/>
      <c r="G11" s="9"/>
      <c r="H11" s="9">
        <v>338.32</v>
      </c>
      <c r="L11">
        <f t="shared" si="0"/>
        <v>7.0940000000000003E-2</v>
      </c>
      <c r="Q11" s="14">
        <v>3</v>
      </c>
      <c r="R11" s="9" t="s">
        <v>7</v>
      </c>
      <c r="S11" s="11">
        <v>6.8928799999999999</v>
      </c>
      <c r="X11" s="9"/>
      <c r="Y11" s="11">
        <v>1.42353</v>
      </c>
      <c r="AA11">
        <v>812.5</v>
      </c>
      <c r="AG11" s="9"/>
      <c r="AH11">
        <v>11.27</v>
      </c>
      <c r="AI11">
        <f t="shared" si="2"/>
        <v>0.11269999999999999</v>
      </c>
    </row>
    <row r="12" spans="1:35" x14ac:dyDescent="0.3">
      <c r="A12" s="14"/>
      <c r="B12" s="9" t="s">
        <v>12</v>
      </c>
      <c r="C12" s="9">
        <v>2614.5300000000002</v>
      </c>
      <c r="D12" s="28">
        <v>4.6179999999999999E-2</v>
      </c>
      <c r="E12" s="38"/>
      <c r="G12" s="9" t="s">
        <v>12</v>
      </c>
      <c r="H12" s="9">
        <v>2614.5300000000002</v>
      </c>
      <c r="I12" s="32">
        <v>1.5048283799999999E-3</v>
      </c>
      <c r="J12" s="25"/>
      <c r="L12">
        <f t="shared" si="0"/>
        <v>4.4675171619999995E-2</v>
      </c>
      <c r="Q12" s="14"/>
      <c r="R12" s="9"/>
      <c r="S12" s="11">
        <v>4.0803000000000003</v>
      </c>
      <c r="U12">
        <f t="shared" si="1"/>
        <v>51.826235299261839</v>
      </c>
      <c r="X12" s="9" t="s">
        <v>12</v>
      </c>
      <c r="Y12" s="11">
        <v>0.70038999999999996</v>
      </c>
      <c r="AA12">
        <v>812.5</v>
      </c>
      <c r="AG12" s="9" t="s">
        <v>12</v>
      </c>
      <c r="AH12">
        <v>99.754000000000005</v>
      </c>
      <c r="AI12">
        <f t="shared" si="2"/>
        <v>0.99754000000000009</v>
      </c>
    </row>
    <row r="13" spans="1:35" x14ac:dyDescent="0.3">
      <c r="A13" s="14"/>
      <c r="B13" s="9"/>
      <c r="C13" s="9">
        <v>583.19000000000005</v>
      </c>
      <c r="D13" s="28">
        <v>0.12161</v>
      </c>
      <c r="E13" s="38"/>
      <c r="G13" s="9"/>
      <c r="H13" s="9">
        <v>583.19000000000005</v>
      </c>
      <c r="L13">
        <f t="shared" si="0"/>
        <v>0.12161</v>
      </c>
      <c r="Q13" s="14"/>
      <c r="R13" s="9" t="s">
        <v>8</v>
      </c>
      <c r="S13" s="11">
        <v>4.8761000000000001</v>
      </c>
      <c r="U13">
        <f t="shared" si="1"/>
        <v>45.806638171223</v>
      </c>
      <c r="X13" s="9"/>
      <c r="Y13" s="9">
        <v>2.15707</v>
      </c>
      <c r="AA13">
        <v>812.5</v>
      </c>
      <c r="AG13" s="9"/>
      <c r="AH13">
        <v>85</v>
      </c>
      <c r="AI13">
        <f t="shared" si="2"/>
        <v>0.85</v>
      </c>
    </row>
    <row r="14" spans="1:35" x14ac:dyDescent="0.3">
      <c r="A14" s="14"/>
      <c r="B14" s="9"/>
      <c r="C14" s="9">
        <v>510.77</v>
      </c>
      <c r="D14" s="28">
        <v>6.1429999999999998E-2</v>
      </c>
      <c r="E14" s="38"/>
      <c r="G14" s="9"/>
      <c r="H14" s="9">
        <v>510.77</v>
      </c>
      <c r="I14" s="25"/>
      <c r="J14" s="25"/>
      <c r="L14">
        <f t="shared" si="0"/>
        <v>6.1429999999999998E-2</v>
      </c>
      <c r="Q14" s="14"/>
      <c r="R14" s="9"/>
      <c r="S14" s="11">
        <v>0.76163999999999998</v>
      </c>
      <c r="U14">
        <f t="shared" si="1"/>
        <v>74.188615723055435</v>
      </c>
      <c r="X14" s="9"/>
      <c r="Y14" s="11">
        <v>0.67276999999999998</v>
      </c>
      <c r="AA14">
        <v>812.5</v>
      </c>
      <c r="AG14" s="9"/>
      <c r="AH14">
        <v>22.6</v>
      </c>
      <c r="AI14">
        <f t="shared" si="2"/>
        <v>0.22600000000000001</v>
      </c>
    </row>
    <row r="15" spans="1:35" x14ac:dyDescent="0.3">
      <c r="A15" s="14"/>
      <c r="B15" s="9"/>
      <c r="C15" s="9">
        <v>860.56</v>
      </c>
      <c r="D15" s="28">
        <v>1.226E-2</v>
      </c>
      <c r="E15" s="38"/>
      <c r="G15" s="9"/>
      <c r="H15" s="9">
        <v>860.56</v>
      </c>
      <c r="L15">
        <f t="shared" si="0"/>
        <v>1.226E-2</v>
      </c>
      <c r="Q15" s="14"/>
      <c r="R15" s="9"/>
      <c r="S15" s="11">
        <v>0.98085</v>
      </c>
      <c r="U15">
        <f t="shared" si="1"/>
        <v>40.72132286812198</v>
      </c>
      <c r="X15" s="9"/>
      <c r="Y15" s="11">
        <v>0.24462</v>
      </c>
      <c r="AA15">
        <v>812.5</v>
      </c>
      <c r="AG15" s="9"/>
      <c r="AH15">
        <v>12.5</v>
      </c>
      <c r="AI15">
        <f t="shared" si="2"/>
        <v>0.125</v>
      </c>
    </row>
    <row r="16" spans="1:35" x14ac:dyDescent="0.3">
      <c r="A16" s="15">
        <v>2</v>
      </c>
      <c r="B16" s="1" t="s">
        <v>7</v>
      </c>
      <c r="C16" s="1">
        <v>351.93</v>
      </c>
      <c r="D16" s="28">
        <v>5.82836</v>
      </c>
      <c r="E16" s="38"/>
      <c r="F16" t="s">
        <v>230</v>
      </c>
      <c r="G16" s="1" t="s">
        <v>7</v>
      </c>
      <c r="H16" s="1">
        <v>351.93</v>
      </c>
      <c r="K16">
        <v>2</v>
      </c>
      <c r="L16">
        <f>D16-I2</f>
        <v>5.82836</v>
      </c>
      <c r="T16">
        <v>2</v>
      </c>
      <c r="U16">
        <f t="shared" si="1"/>
        <v>1044.4809266953725</v>
      </c>
      <c r="X16" s="9" t="s">
        <v>7</v>
      </c>
      <c r="Y16" s="11">
        <v>6.8928799999999999</v>
      </c>
      <c r="AA16">
        <v>1235.25</v>
      </c>
      <c r="AG16" s="9" t="s">
        <v>7</v>
      </c>
      <c r="AH16">
        <v>35.72</v>
      </c>
      <c r="AI16">
        <f>AH16/100</f>
        <v>0.35719999999999996</v>
      </c>
    </row>
    <row r="17" spans="1:35" x14ac:dyDescent="0.3">
      <c r="A17" s="15"/>
      <c r="B17" s="1"/>
      <c r="C17" s="1">
        <v>295.22000000000003</v>
      </c>
      <c r="D17" s="28">
        <v>3.4231600000000002</v>
      </c>
      <c r="E17" s="38"/>
      <c r="G17" s="1"/>
      <c r="H17" s="1">
        <v>295.22000000000003</v>
      </c>
      <c r="L17">
        <f t="shared" ref="L17:L29" si="3">D17-I3</f>
        <v>3.4231600000000002</v>
      </c>
      <c r="U17">
        <f t="shared" si="1"/>
        <v>1036.3106609808103</v>
      </c>
      <c r="X17" s="9"/>
      <c r="Y17" s="11">
        <v>4.0803000000000003</v>
      </c>
      <c r="AA17">
        <v>1235.25</v>
      </c>
      <c r="AG17" s="9"/>
      <c r="AH17">
        <v>18.47</v>
      </c>
      <c r="AI17">
        <f t="shared" si="2"/>
        <v>0.18469999999999998</v>
      </c>
    </row>
    <row r="18" spans="1:35" x14ac:dyDescent="0.3">
      <c r="A18" s="15"/>
      <c r="B18" s="1" t="s">
        <v>8</v>
      </c>
      <c r="C18" s="1">
        <v>609.32000000000005</v>
      </c>
      <c r="D18" s="28">
        <v>4.2398699999999998</v>
      </c>
      <c r="E18" s="17"/>
      <c r="G18" s="1" t="s">
        <v>8</v>
      </c>
      <c r="H18" s="1">
        <v>609.32000000000005</v>
      </c>
      <c r="L18">
        <f t="shared" si="3"/>
        <v>4.2398699999999998</v>
      </c>
      <c r="U18">
        <f t="shared" si="1"/>
        <v>1074.0754737392588</v>
      </c>
      <c r="X18" s="9" t="s">
        <v>8</v>
      </c>
      <c r="Y18" s="11">
        <v>4.8761000000000001</v>
      </c>
      <c r="AA18">
        <v>1235.25</v>
      </c>
      <c r="AG18" s="9" t="s">
        <v>8</v>
      </c>
      <c r="AH18">
        <v>45.44</v>
      </c>
      <c r="AI18">
        <f t="shared" si="2"/>
        <v>0.45439999999999997</v>
      </c>
    </row>
    <row r="19" spans="1:35" x14ac:dyDescent="0.3">
      <c r="A19" s="15"/>
      <c r="B19" s="1"/>
      <c r="C19" s="1">
        <v>1764.49</v>
      </c>
      <c r="D19" s="28">
        <v>0.66900999999999999</v>
      </c>
      <c r="E19" s="17"/>
      <c r="G19" s="1"/>
      <c r="H19" s="1">
        <v>1764.49</v>
      </c>
      <c r="L19">
        <f t="shared" si="3"/>
        <v>0.66900999999999999</v>
      </c>
      <c r="U19">
        <f t="shared" si="1"/>
        <v>1085.0199602174255</v>
      </c>
      <c r="X19" s="9"/>
      <c r="Y19" s="11">
        <v>0.76163999999999998</v>
      </c>
      <c r="AA19">
        <v>1235.25</v>
      </c>
      <c r="AG19" s="9"/>
      <c r="AH19">
        <v>15.29</v>
      </c>
      <c r="AI19">
        <f t="shared" si="2"/>
        <v>0.15289999999999998</v>
      </c>
    </row>
    <row r="20" spans="1:35" x14ac:dyDescent="0.3">
      <c r="A20" s="15"/>
      <c r="B20" s="1"/>
      <c r="C20" s="1">
        <v>1120.29</v>
      </c>
      <c r="D20" s="28">
        <v>0.88829999999999998</v>
      </c>
      <c r="E20" s="17"/>
      <c r="G20" s="1"/>
      <c r="H20" s="1">
        <v>1120.29</v>
      </c>
      <c r="L20">
        <f t="shared" si="3"/>
        <v>0.88829999999999998</v>
      </c>
      <c r="U20">
        <f t="shared" si="1"/>
        <v>1118.6955956568281</v>
      </c>
      <c r="X20" s="9"/>
      <c r="Y20" s="11">
        <v>0.98085</v>
      </c>
      <c r="AA20">
        <v>1235.25</v>
      </c>
      <c r="AG20" s="9"/>
      <c r="AH20">
        <v>14.9</v>
      </c>
      <c r="AI20">
        <f t="shared" si="2"/>
        <v>0.14899999999999999</v>
      </c>
    </row>
    <row r="21" spans="1:35" x14ac:dyDescent="0.3">
      <c r="A21" s="15"/>
      <c r="B21" s="1" t="s">
        <v>9</v>
      </c>
      <c r="C21" s="1">
        <v>1460.82</v>
      </c>
      <c r="D21" s="28">
        <v>9.2789999999999997E-2</v>
      </c>
      <c r="E21" s="38"/>
      <c r="G21" s="1" t="s">
        <v>9</v>
      </c>
      <c r="H21" s="1">
        <v>1460.82</v>
      </c>
      <c r="I21" s="37">
        <v>5.8245669400000004E-3</v>
      </c>
      <c r="J21" s="26"/>
      <c r="L21">
        <f t="shared" si="3"/>
        <v>8.8736626479999997E-2</v>
      </c>
      <c r="X21" s="9" t="s">
        <v>9</v>
      </c>
      <c r="Y21" s="9">
        <v>1.74254</v>
      </c>
      <c r="AA21">
        <v>3545</v>
      </c>
      <c r="AG21" s="9" t="s">
        <v>9</v>
      </c>
      <c r="AH21">
        <v>10.66</v>
      </c>
      <c r="AI21">
        <f t="shared" si="2"/>
        <v>0.1066</v>
      </c>
    </row>
    <row r="22" spans="1:35" x14ac:dyDescent="0.3">
      <c r="A22" s="15"/>
      <c r="B22" s="1" t="s">
        <v>10</v>
      </c>
      <c r="C22" s="1">
        <v>238.63</v>
      </c>
      <c r="D22" s="28">
        <v>23.590409999999999</v>
      </c>
      <c r="E22" s="17"/>
      <c r="G22" s="1" t="s">
        <v>10</v>
      </c>
      <c r="H22" s="1">
        <v>238.63</v>
      </c>
      <c r="I22" s="37">
        <v>5.3830502700000001E-3</v>
      </c>
      <c r="J22" s="26"/>
      <c r="L22">
        <f t="shared" si="3"/>
        <v>23.590409999999999</v>
      </c>
      <c r="X22" s="9" t="s">
        <v>10</v>
      </c>
      <c r="Y22" s="11">
        <v>7.7333699999999999</v>
      </c>
      <c r="AA22">
        <v>812.5</v>
      </c>
      <c r="AG22" s="9" t="s">
        <v>10</v>
      </c>
      <c r="AH22">
        <v>43.6</v>
      </c>
      <c r="AI22">
        <f t="shared" si="2"/>
        <v>0.436</v>
      </c>
    </row>
    <row r="23" spans="1:35" x14ac:dyDescent="0.3">
      <c r="A23" s="15"/>
      <c r="B23" s="1" t="s">
        <v>11</v>
      </c>
      <c r="C23" s="1">
        <v>911.21</v>
      </c>
      <c r="D23" s="28">
        <v>4.5730300000000002</v>
      </c>
      <c r="E23" s="38"/>
      <c r="G23" s="1" t="s">
        <v>11</v>
      </c>
      <c r="H23" s="1">
        <v>911.21</v>
      </c>
      <c r="L23">
        <f t="shared" si="3"/>
        <v>4.5730300000000002</v>
      </c>
      <c r="X23" s="9" t="s">
        <v>11</v>
      </c>
      <c r="Y23" s="11">
        <v>1.39327</v>
      </c>
      <c r="AA23">
        <v>812.5</v>
      </c>
      <c r="AG23" s="9" t="s">
        <v>11</v>
      </c>
      <c r="AH23">
        <v>25.8</v>
      </c>
      <c r="AI23">
        <f t="shared" si="2"/>
        <v>0.25800000000000001</v>
      </c>
    </row>
    <row r="24" spans="1:35" x14ac:dyDescent="0.3">
      <c r="A24" s="15"/>
      <c r="B24" s="1"/>
      <c r="C24" s="1">
        <v>968.97</v>
      </c>
      <c r="D24" s="28">
        <v>2.6357599999999999</v>
      </c>
      <c r="E24" s="17"/>
      <c r="G24" s="1"/>
      <c r="H24" s="1">
        <v>968.97</v>
      </c>
      <c r="L24">
        <f t="shared" si="3"/>
        <v>2.6357599999999999</v>
      </c>
      <c r="X24" s="9"/>
      <c r="Y24" s="11">
        <v>0.80701000000000001</v>
      </c>
      <c r="AA24">
        <v>812.5</v>
      </c>
      <c r="AG24" s="9"/>
      <c r="AH24">
        <v>15.8</v>
      </c>
      <c r="AI24">
        <f t="shared" si="2"/>
        <v>0.158</v>
      </c>
    </row>
    <row r="25" spans="1:35" x14ac:dyDescent="0.3">
      <c r="A25" s="15"/>
      <c r="B25" s="1"/>
      <c r="C25" s="1">
        <v>338.32</v>
      </c>
      <c r="D25" s="28">
        <v>4.4253499999999999</v>
      </c>
      <c r="E25" s="17"/>
      <c r="G25" s="1"/>
      <c r="H25" s="1">
        <v>338.32</v>
      </c>
      <c r="L25">
        <f t="shared" si="3"/>
        <v>4.4253499999999999</v>
      </c>
      <c r="X25" s="9"/>
      <c r="Y25" s="11">
        <v>1.42353</v>
      </c>
      <c r="AA25">
        <v>812.5</v>
      </c>
      <c r="AG25" s="9"/>
      <c r="AH25">
        <v>11.27</v>
      </c>
      <c r="AI25">
        <f t="shared" si="2"/>
        <v>0.11269999999999999</v>
      </c>
    </row>
    <row r="26" spans="1:35" x14ac:dyDescent="0.3">
      <c r="A26" s="15"/>
      <c r="B26" s="1" t="s">
        <v>12</v>
      </c>
      <c r="C26" s="1">
        <v>2614.5300000000002</v>
      </c>
      <c r="D26" s="28">
        <v>2.34572</v>
      </c>
      <c r="E26" s="17"/>
      <c r="G26" s="1" t="s">
        <v>12</v>
      </c>
      <c r="H26" s="1">
        <v>2614.5300000000002</v>
      </c>
      <c r="I26" s="37">
        <v>2.2477083999999999E-3</v>
      </c>
      <c r="J26" s="26"/>
      <c r="L26">
        <f t="shared" si="3"/>
        <v>2.3442151716200001</v>
      </c>
      <c r="U26">
        <f t="shared" si="1"/>
        <v>2719.448916948058</v>
      </c>
      <c r="X26" s="9" t="s">
        <v>12</v>
      </c>
      <c r="Y26" s="11">
        <v>0.70038999999999996</v>
      </c>
      <c r="AA26">
        <v>812.5</v>
      </c>
      <c r="AG26" s="9" t="s">
        <v>12</v>
      </c>
      <c r="AH26">
        <v>99.754000000000005</v>
      </c>
      <c r="AI26">
        <f t="shared" si="2"/>
        <v>0.99754000000000009</v>
      </c>
    </row>
    <row r="27" spans="1:35" x14ac:dyDescent="0.3">
      <c r="A27" s="15"/>
      <c r="B27" s="1"/>
      <c r="C27" s="1">
        <v>583.19000000000005</v>
      </c>
      <c r="D27" s="28">
        <v>6.8753500000000001</v>
      </c>
      <c r="E27" s="17"/>
      <c r="G27" s="1"/>
      <c r="H27" s="1">
        <v>583.19000000000005</v>
      </c>
      <c r="I27" s="26"/>
      <c r="J27" s="26"/>
      <c r="L27">
        <f t="shared" si="3"/>
        <v>6.8753500000000001</v>
      </c>
      <c r="U27">
        <f t="shared" si="1"/>
        <v>2589.7267473934548</v>
      </c>
      <c r="X27" s="9"/>
      <c r="Y27" s="9">
        <v>2.15707</v>
      </c>
      <c r="AA27">
        <v>812.5</v>
      </c>
      <c r="AG27" s="9"/>
      <c r="AH27">
        <v>85</v>
      </c>
      <c r="AI27">
        <f t="shared" si="2"/>
        <v>0.85</v>
      </c>
    </row>
    <row r="28" spans="1:35" x14ac:dyDescent="0.3">
      <c r="A28" s="15"/>
      <c r="B28" s="1"/>
      <c r="C28" s="1">
        <v>510.77</v>
      </c>
      <c r="D28" s="28">
        <v>2.1968999999999999</v>
      </c>
      <c r="E28" s="17"/>
      <c r="G28" s="1"/>
      <c r="H28" s="1">
        <v>510.77</v>
      </c>
      <c r="L28">
        <f t="shared" si="3"/>
        <v>2.1968999999999999</v>
      </c>
      <c r="U28">
        <f t="shared" si="1"/>
        <v>2653.1819938463368</v>
      </c>
      <c r="X28" s="9"/>
      <c r="Y28" s="11">
        <v>0.67276999999999998</v>
      </c>
      <c r="AA28">
        <v>812.5</v>
      </c>
      <c r="AG28" s="9"/>
      <c r="AH28">
        <v>22.6</v>
      </c>
      <c r="AI28">
        <f t="shared" si="2"/>
        <v>0.22600000000000001</v>
      </c>
    </row>
    <row r="29" spans="1:35" x14ac:dyDescent="0.3">
      <c r="A29" s="15"/>
      <c r="B29" s="1"/>
      <c r="C29" s="1">
        <v>860.56</v>
      </c>
      <c r="D29" s="28">
        <v>0.79091999999999996</v>
      </c>
      <c r="E29" s="17"/>
      <c r="G29" s="1"/>
      <c r="H29" s="1">
        <v>860.56</v>
      </c>
      <c r="L29">
        <f t="shared" si="3"/>
        <v>0.79091999999999996</v>
      </c>
      <c r="U29">
        <f t="shared" si="1"/>
        <v>2627.0235467255334</v>
      </c>
      <c r="X29" s="9"/>
      <c r="Y29" s="11">
        <v>0.24462</v>
      </c>
      <c r="AA29">
        <v>812.5</v>
      </c>
      <c r="AG29" s="9"/>
      <c r="AH29">
        <v>12.5</v>
      </c>
      <c r="AI29">
        <f t="shared" si="2"/>
        <v>0.125</v>
      </c>
    </row>
    <row r="30" spans="1:35" x14ac:dyDescent="0.3">
      <c r="A30" s="21">
        <v>3</v>
      </c>
      <c r="B30" s="1" t="s">
        <v>7</v>
      </c>
      <c r="C30" s="1">
        <v>351.93</v>
      </c>
      <c r="D30" s="28">
        <v>16.486910000000002</v>
      </c>
      <c r="E30" s="17"/>
      <c r="F30" t="s">
        <v>207</v>
      </c>
      <c r="G30" s="1" t="s">
        <v>7</v>
      </c>
      <c r="H30" s="1">
        <v>351.93</v>
      </c>
      <c r="I30" s="19"/>
      <c r="J30" s="19"/>
      <c r="K30">
        <v>3</v>
      </c>
      <c r="L30">
        <f>D30-I2</f>
        <v>16.486910000000002</v>
      </c>
      <c r="T30">
        <v>3</v>
      </c>
      <c r="U30">
        <f t="shared" si="1"/>
        <v>2954.5640686476481</v>
      </c>
      <c r="X30" s="9" t="s">
        <v>7</v>
      </c>
      <c r="Y30" s="11">
        <v>6.8928799999999999</v>
      </c>
      <c r="AA30">
        <v>1235.25</v>
      </c>
      <c r="AG30" s="9" t="s">
        <v>7</v>
      </c>
      <c r="AH30">
        <v>35.72</v>
      </c>
      <c r="AI30">
        <f>AH30/100</f>
        <v>0.35719999999999996</v>
      </c>
    </row>
    <row r="31" spans="1:35" x14ac:dyDescent="0.3">
      <c r="A31" s="15"/>
      <c r="B31" s="1"/>
      <c r="C31" s="1">
        <v>295.22000000000003</v>
      </c>
      <c r="D31" s="29">
        <v>9.5885800000000003</v>
      </c>
      <c r="E31" s="17"/>
      <c r="G31" s="1"/>
      <c r="H31" s="1">
        <v>295.22000000000003</v>
      </c>
      <c r="L31">
        <f t="shared" ref="L31:L43" si="4">D31-I3</f>
        <v>9.5885800000000003</v>
      </c>
      <c r="U31">
        <f t="shared" si="1"/>
        <v>2902.7996581133743</v>
      </c>
      <c r="X31" s="9"/>
      <c r="Y31" s="11">
        <v>4.0803000000000003</v>
      </c>
      <c r="AA31">
        <v>1235.25</v>
      </c>
      <c r="AG31" s="9"/>
      <c r="AH31">
        <v>18.47</v>
      </c>
      <c r="AI31">
        <f t="shared" si="2"/>
        <v>0.18469999999999998</v>
      </c>
    </row>
    <row r="32" spans="1:35" x14ac:dyDescent="0.3">
      <c r="A32" s="15"/>
      <c r="B32" s="1" t="s">
        <v>8</v>
      </c>
      <c r="C32" s="1">
        <v>609.32000000000005</v>
      </c>
      <c r="D32" s="29">
        <v>12.20491</v>
      </c>
      <c r="E32" s="17"/>
      <c r="G32" s="1" t="s">
        <v>8</v>
      </c>
      <c r="H32" s="1">
        <v>609.32000000000005</v>
      </c>
      <c r="L32">
        <f t="shared" si="4"/>
        <v>12.20491</v>
      </c>
      <c r="U32">
        <f t="shared" si="1"/>
        <v>3091.8387804803019</v>
      </c>
      <c r="X32" s="9" t="s">
        <v>8</v>
      </c>
      <c r="Y32" s="11">
        <v>4.8761000000000001</v>
      </c>
      <c r="AA32">
        <v>1235.25</v>
      </c>
      <c r="AG32" s="9" t="s">
        <v>8</v>
      </c>
      <c r="AH32">
        <v>45.44</v>
      </c>
      <c r="AI32">
        <f t="shared" si="2"/>
        <v>0.45439999999999997</v>
      </c>
    </row>
    <row r="33" spans="1:35" x14ac:dyDescent="0.3">
      <c r="A33" s="15"/>
      <c r="B33" s="1"/>
      <c r="C33" s="1">
        <v>1764.49</v>
      </c>
      <c r="D33" s="28">
        <v>1.9962500000000001</v>
      </c>
      <c r="E33" s="17"/>
      <c r="G33" s="1"/>
      <c r="H33" s="1">
        <v>1764.49</v>
      </c>
      <c r="L33">
        <f t="shared" si="4"/>
        <v>1.9962500000000001</v>
      </c>
      <c r="U33">
        <f t="shared" si="1"/>
        <v>3237.576561761462</v>
      </c>
      <c r="X33" s="9"/>
      <c r="Y33" s="11">
        <v>0.76163999999999998</v>
      </c>
      <c r="AA33">
        <v>1235.25</v>
      </c>
      <c r="AG33" s="9"/>
      <c r="AH33">
        <v>15.29</v>
      </c>
      <c r="AI33">
        <f t="shared" si="2"/>
        <v>0.15289999999999998</v>
      </c>
    </row>
    <row r="34" spans="1:35" x14ac:dyDescent="0.3">
      <c r="A34" s="15"/>
      <c r="B34" s="1"/>
      <c r="C34" s="1">
        <v>1120.29</v>
      </c>
      <c r="D34" s="29">
        <v>2.5588099999999998</v>
      </c>
      <c r="E34" s="17"/>
      <c r="G34" s="1"/>
      <c r="H34" s="1">
        <v>1120.29</v>
      </c>
      <c r="L34">
        <f t="shared" si="4"/>
        <v>2.5588099999999998</v>
      </c>
      <c r="U34">
        <f t="shared" si="1"/>
        <v>3222.4805551307536</v>
      </c>
      <c r="X34" s="9"/>
      <c r="Y34" s="11">
        <v>0.98085</v>
      </c>
      <c r="AA34">
        <v>1235.25</v>
      </c>
      <c r="AG34" s="9"/>
      <c r="AH34">
        <v>14.9</v>
      </c>
      <c r="AI34">
        <f t="shared" si="2"/>
        <v>0.14899999999999999</v>
      </c>
    </row>
    <row r="35" spans="1:35" x14ac:dyDescent="0.3">
      <c r="A35" s="15"/>
      <c r="B35" s="1" t="s">
        <v>9</v>
      </c>
      <c r="C35" s="1">
        <v>1460.82</v>
      </c>
      <c r="D35" s="29">
        <v>0.12573000000000001</v>
      </c>
      <c r="E35" s="17"/>
      <c r="G35" s="1" t="s">
        <v>9</v>
      </c>
      <c r="H35" s="1">
        <v>1460.82</v>
      </c>
      <c r="I35" s="34">
        <v>4.9195372499999997E-3</v>
      </c>
      <c r="J35" s="20"/>
      <c r="L35">
        <f t="shared" si="4"/>
        <v>0.12167662648000001</v>
      </c>
      <c r="X35" s="9" t="s">
        <v>9</v>
      </c>
      <c r="Y35" s="9">
        <v>1.74254</v>
      </c>
      <c r="AA35">
        <v>3545</v>
      </c>
      <c r="AG35" s="9" t="s">
        <v>9</v>
      </c>
      <c r="AH35">
        <v>10.66</v>
      </c>
      <c r="AI35">
        <f t="shared" si="2"/>
        <v>0.1066</v>
      </c>
    </row>
    <row r="36" spans="1:35" x14ac:dyDescent="0.3">
      <c r="A36" s="15"/>
      <c r="B36" s="1" t="s">
        <v>10</v>
      </c>
      <c r="C36" s="1">
        <v>238.63</v>
      </c>
      <c r="D36" s="28">
        <v>28.660440000000001</v>
      </c>
      <c r="E36" s="17"/>
      <c r="G36" s="1" t="s">
        <v>10</v>
      </c>
      <c r="H36" s="1">
        <v>238.63</v>
      </c>
      <c r="I36" s="19"/>
      <c r="J36" s="19"/>
      <c r="L36">
        <f t="shared" si="4"/>
        <v>28.660440000000001</v>
      </c>
      <c r="X36" s="9" t="s">
        <v>10</v>
      </c>
      <c r="Y36" s="11">
        <v>7.7333699999999999</v>
      </c>
      <c r="AA36">
        <v>812.5</v>
      </c>
      <c r="AG36" s="9" t="s">
        <v>10</v>
      </c>
      <c r="AH36">
        <v>43.6</v>
      </c>
      <c r="AI36">
        <f t="shared" si="2"/>
        <v>0.436</v>
      </c>
    </row>
    <row r="37" spans="1:35" x14ac:dyDescent="0.3">
      <c r="A37" s="15"/>
      <c r="B37" s="1" t="s">
        <v>11</v>
      </c>
      <c r="C37" s="1">
        <v>911.21</v>
      </c>
      <c r="D37" s="28">
        <v>6.30037</v>
      </c>
      <c r="E37" s="38"/>
      <c r="G37" s="1" t="s">
        <v>11</v>
      </c>
      <c r="H37" s="1">
        <v>911.21</v>
      </c>
      <c r="I37" s="19"/>
      <c r="J37" s="19"/>
      <c r="L37">
        <f t="shared" si="4"/>
        <v>6.30037</v>
      </c>
      <c r="X37" s="9" t="s">
        <v>11</v>
      </c>
      <c r="Y37" s="11">
        <v>1.39327</v>
      </c>
      <c r="AA37">
        <v>812.5</v>
      </c>
      <c r="AG37" s="9" t="s">
        <v>11</v>
      </c>
      <c r="AH37">
        <v>25.8</v>
      </c>
      <c r="AI37">
        <f t="shared" si="2"/>
        <v>0.25800000000000001</v>
      </c>
    </row>
    <row r="38" spans="1:35" x14ac:dyDescent="0.3">
      <c r="A38" s="15"/>
      <c r="B38" s="1"/>
      <c r="C38" s="1">
        <v>968.97</v>
      </c>
      <c r="D38" s="28">
        <v>3.6341000000000001</v>
      </c>
      <c r="E38" s="17"/>
      <c r="G38" s="1"/>
      <c r="H38" s="1">
        <v>968.97</v>
      </c>
      <c r="L38">
        <f t="shared" si="4"/>
        <v>3.6341000000000001</v>
      </c>
      <c r="X38" s="9"/>
      <c r="Y38" s="11">
        <v>0.80701000000000001</v>
      </c>
      <c r="AA38">
        <v>812.5</v>
      </c>
      <c r="AG38" s="9"/>
      <c r="AH38">
        <v>15.8</v>
      </c>
      <c r="AI38">
        <f t="shared" si="2"/>
        <v>0.158</v>
      </c>
    </row>
    <row r="39" spans="1:35" x14ac:dyDescent="0.3">
      <c r="A39" s="15"/>
      <c r="B39" s="1"/>
      <c r="C39" s="1">
        <v>338.32</v>
      </c>
      <c r="D39" s="28">
        <v>5.8263400000000001</v>
      </c>
      <c r="E39" s="17"/>
      <c r="G39" s="1"/>
      <c r="H39" s="1">
        <v>338.32</v>
      </c>
      <c r="L39">
        <f t="shared" si="4"/>
        <v>5.8263400000000001</v>
      </c>
      <c r="X39" s="9"/>
      <c r="Y39" s="11">
        <v>1.42353</v>
      </c>
      <c r="AA39">
        <v>812.5</v>
      </c>
      <c r="AG39" s="9"/>
      <c r="AH39">
        <v>11.27</v>
      </c>
      <c r="AI39">
        <f t="shared" si="2"/>
        <v>0.11269999999999999</v>
      </c>
    </row>
    <row r="40" spans="1:35" x14ac:dyDescent="0.3">
      <c r="A40" s="15"/>
      <c r="B40" s="1" t="s">
        <v>12</v>
      </c>
      <c r="C40" s="1">
        <v>2614.5300000000002</v>
      </c>
      <c r="D40" s="28">
        <v>3.26315</v>
      </c>
      <c r="E40" s="17"/>
      <c r="G40" s="1" t="s">
        <v>12</v>
      </c>
      <c r="H40" s="1">
        <v>2614.5300000000002</v>
      </c>
      <c r="I40" s="32">
        <v>5.00422438E-3</v>
      </c>
      <c r="J40" s="25"/>
      <c r="L40">
        <f t="shared" si="4"/>
        <v>3.2616451716200001</v>
      </c>
      <c r="U40">
        <f t="shared" si="1"/>
        <v>3783.7300674499211</v>
      </c>
      <c r="X40" s="9" t="s">
        <v>12</v>
      </c>
      <c r="Y40" s="11">
        <v>0.70038999999999996</v>
      </c>
      <c r="AA40">
        <v>812.5</v>
      </c>
      <c r="AG40" s="9" t="s">
        <v>12</v>
      </c>
      <c r="AH40">
        <v>99.754000000000005</v>
      </c>
      <c r="AI40">
        <f t="shared" si="2"/>
        <v>0.99754000000000009</v>
      </c>
    </row>
    <row r="41" spans="1:35" x14ac:dyDescent="0.3">
      <c r="A41" s="15"/>
      <c r="B41" s="1"/>
      <c r="C41" s="1">
        <v>583.19000000000005</v>
      </c>
      <c r="D41" s="28">
        <v>9.3568800000000003</v>
      </c>
      <c r="E41" s="17"/>
      <c r="G41" s="1"/>
      <c r="H41" s="1">
        <v>583.19000000000005</v>
      </c>
      <c r="L41">
        <f t="shared" si="4"/>
        <v>9.3568800000000003</v>
      </c>
      <c r="U41">
        <f t="shared" si="1"/>
        <v>3524.4405605752245</v>
      </c>
      <c r="X41" s="9"/>
      <c r="Y41" s="9">
        <v>2.15707</v>
      </c>
      <c r="AA41">
        <v>812.5</v>
      </c>
      <c r="AG41" s="9"/>
      <c r="AH41">
        <v>85</v>
      </c>
      <c r="AI41">
        <f t="shared" si="2"/>
        <v>0.85</v>
      </c>
    </row>
    <row r="42" spans="1:35" x14ac:dyDescent="0.3">
      <c r="A42" s="15"/>
      <c r="B42" s="1"/>
      <c r="C42" s="1">
        <v>510.77</v>
      </c>
      <c r="D42" s="29">
        <v>3.1710500000000001</v>
      </c>
      <c r="E42" s="17"/>
      <c r="G42" s="1"/>
      <c r="H42" s="1">
        <v>510.77</v>
      </c>
      <c r="I42" s="19"/>
      <c r="J42" s="19"/>
      <c r="L42">
        <f t="shared" si="4"/>
        <v>3.1710500000000001</v>
      </c>
      <c r="U42">
        <f t="shared" si="1"/>
        <v>3829.6566805892062</v>
      </c>
      <c r="X42" s="9"/>
      <c r="Y42" s="11">
        <v>0.67276999999999998</v>
      </c>
      <c r="AA42">
        <v>812.5</v>
      </c>
      <c r="AG42" s="9"/>
      <c r="AH42">
        <v>22.6</v>
      </c>
      <c r="AI42">
        <f t="shared" si="2"/>
        <v>0.22600000000000001</v>
      </c>
    </row>
    <row r="43" spans="1:35" x14ac:dyDescent="0.3">
      <c r="A43" s="15"/>
      <c r="B43" s="1"/>
      <c r="C43" s="1">
        <v>860.56</v>
      </c>
      <c r="D43" s="28">
        <v>1.0966199999999999</v>
      </c>
      <c r="E43" s="17"/>
      <c r="G43" s="1"/>
      <c r="H43" s="1">
        <v>860.56</v>
      </c>
      <c r="L43">
        <f t="shared" si="4"/>
        <v>1.0966199999999999</v>
      </c>
      <c r="U43">
        <f t="shared" si="1"/>
        <v>3642.3994358597001</v>
      </c>
      <c r="X43" s="9"/>
      <c r="Y43" s="11">
        <v>0.24462</v>
      </c>
      <c r="AA43">
        <v>812.5</v>
      </c>
      <c r="AG43" s="9"/>
      <c r="AH43">
        <v>12.5</v>
      </c>
      <c r="AI43">
        <f t="shared" si="2"/>
        <v>0.125</v>
      </c>
    </row>
    <row r="44" spans="1:35" x14ac:dyDescent="0.3">
      <c r="A44" s="21">
        <v>4</v>
      </c>
      <c r="B44" s="1" t="s">
        <v>7</v>
      </c>
      <c r="C44" s="1">
        <v>351.93</v>
      </c>
      <c r="D44" s="28">
        <v>8.6722699999999993</v>
      </c>
      <c r="E44" s="17"/>
      <c r="F44" t="s">
        <v>211</v>
      </c>
      <c r="G44" s="1" t="s">
        <v>7</v>
      </c>
      <c r="H44" s="1">
        <v>351.93</v>
      </c>
      <c r="I44" s="25"/>
      <c r="J44" s="25"/>
      <c r="K44">
        <v>4</v>
      </c>
      <c r="L44">
        <f>D44-I16</f>
        <v>8.6722699999999993</v>
      </c>
      <c r="T44">
        <v>4</v>
      </c>
      <c r="U44">
        <f t="shared" si="1"/>
        <v>1554.128538071169</v>
      </c>
      <c r="X44" s="9" t="s">
        <v>7</v>
      </c>
      <c r="Y44" s="11">
        <v>6.8928799999999999</v>
      </c>
      <c r="AA44">
        <v>1235.25</v>
      </c>
      <c r="AG44" s="9" t="s">
        <v>7</v>
      </c>
      <c r="AH44">
        <v>35.72</v>
      </c>
      <c r="AI44">
        <f>AH44/100</f>
        <v>0.35719999999999996</v>
      </c>
    </row>
    <row r="45" spans="1:35" x14ac:dyDescent="0.3">
      <c r="A45" s="15"/>
      <c r="B45" s="1"/>
      <c r="C45" s="1">
        <v>295.22000000000003</v>
      </c>
      <c r="D45" s="29">
        <v>5.1073399999999998</v>
      </c>
      <c r="E45" s="17"/>
      <c r="G45" s="1"/>
      <c r="H45" s="1">
        <v>295.22000000000003</v>
      </c>
      <c r="I45" s="25"/>
      <c r="J45" s="25"/>
      <c r="L45">
        <f t="shared" ref="L45:L57" si="5">D45-I17</f>
        <v>5.1073399999999998</v>
      </c>
      <c r="U45">
        <f t="shared" si="1"/>
        <v>1546.1710499227995</v>
      </c>
      <c r="X45" s="9"/>
      <c r="Y45" s="11">
        <v>4.0803000000000003</v>
      </c>
      <c r="AA45">
        <v>1235.25</v>
      </c>
      <c r="AG45" s="9"/>
      <c r="AH45">
        <v>18.47</v>
      </c>
      <c r="AI45">
        <f t="shared" si="2"/>
        <v>0.18469999999999998</v>
      </c>
    </row>
    <row r="46" spans="1:35" x14ac:dyDescent="0.3">
      <c r="A46" s="15"/>
      <c r="B46" s="1" t="s">
        <v>8</v>
      </c>
      <c r="C46" s="1">
        <v>609.32000000000005</v>
      </c>
      <c r="D46" s="28">
        <v>6.2674799999999999</v>
      </c>
      <c r="E46" s="17"/>
      <c r="G46" s="1" t="s">
        <v>8</v>
      </c>
      <c r="H46" s="1">
        <v>609.32000000000005</v>
      </c>
      <c r="L46">
        <f t="shared" si="5"/>
        <v>6.2674799999999999</v>
      </c>
      <c r="U46">
        <f t="shared" si="1"/>
        <v>1587.7247533889788</v>
      </c>
      <c r="X46" s="9" t="s">
        <v>8</v>
      </c>
      <c r="Y46" s="11">
        <v>4.8761000000000001</v>
      </c>
      <c r="AA46">
        <v>1235.25</v>
      </c>
      <c r="AG46" s="9" t="s">
        <v>8</v>
      </c>
      <c r="AH46">
        <v>45.44</v>
      </c>
      <c r="AI46">
        <f t="shared" si="2"/>
        <v>0.45439999999999997</v>
      </c>
    </row>
    <row r="47" spans="1:35" x14ac:dyDescent="0.3">
      <c r="A47" s="15"/>
      <c r="B47" s="1"/>
      <c r="C47" s="1">
        <v>1764.49</v>
      </c>
      <c r="D47" s="28">
        <v>1.0042899999999999</v>
      </c>
      <c r="E47" s="17"/>
      <c r="G47" s="1"/>
      <c r="H47" s="1">
        <v>1764.49</v>
      </c>
      <c r="L47">
        <f t="shared" si="5"/>
        <v>1.0042899999999999</v>
      </c>
      <c r="U47">
        <f t="shared" si="1"/>
        <v>1628.7868579643923</v>
      </c>
      <c r="X47" s="9"/>
      <c r="Y47" s="11">
        <v>0.76163999999999998</v>
      </c>
      <c r="AA47">
        <v>1235.25</v>
      </c>
      <c r="AG47" s="9"/>
      <c r="AH47">
        <v>15.29</v>
      </c>
      <c r="AI47">
        <f t="shared" si="2"/>
        <v>0.15289999999999998</v>
      </c>
    </row>
    <row r="48" spans="1:35" x14ac:dyDescent="0.3">
      <c r="A48" s="15"/>
      <c r="B48" s="1"/>
      <c r="C48" s="1">
        <v>1120.29</v>
      </c>
      <c r="D48" s="29">
        <v>1.3057300000000001</v>
      </c>
      <c r="E48" s="17"/>
      <c r="G48" s="1"/>
      <c r="H48" s="1">
        <v>1120.29</v>
      </c>
      <c r="L48">
        <f t="shared" si="5"/>
        <v>1.3057300000000001</v>
      </c>
      <c r="U48">
        <f t="shared" si="1"/>
        <v>1644.3931105673651</v>
      </c>
      <c r="X48" s="9"/>
      <c r="Y48" s="11">
        <v>0.98085</v>
      </c>
      <c r="AA48">
        <v>1235.25</v>
      </c>
      <c r="AG48" s="9"/>
      <c r="AH48">
        <v>14.9</v>
      </c>
      <c r="AI48">
        <f t="shared" si="2"/>
        <v>0.14899999999999999</v>
      </c>
    </row>
    <row r="49" spans="1:35" x14ac:dyDescent="0.3">
      <c r="A49" s="15"/>
      <c r="B49" s="1" t="s">
        <v>9</v>
      </c>
      <c r="C49" s="1">
        <v>1460.82</v>
      </c>
      <c r="D49" s="29">
        <v>7.5660000000000005E-2</v>
      </c>
      <c r="E49" s="17"/>
      <c r="G49" s="1" t="s">
        <v>9</v>
      </c>
      <c r="H49" s="1">
        <v>1460.82</v>
      </c>
      <c r="I49" s="32"/>
      <c r="J49" s="25"/>
      <c r="L49">
        <f t="shared" si="5"/>
        <v>6.9835433060000007E-2</v>
      </c>
      <c r="X49" s="9" t="s">
        <v>9</v>
      </c>
      <c r="Y49" s="9">
        <v>1.74254</v>
      </c>
      <c r="AA49">
        <v>3545</v>
      </c>
      <c r="AG49" s="9" t="s">
        <v>9</v>
      </c>
      <c r="AH49">
        <v>10.66</v>
      </c>
      <c r="AI49">
        <f t="shared" si="2"/>
        <v>0.1066</v>
      </c>
    </row>
    <row r="50" spans="1:35" x14ac:dyDescent="0.3">
      <c r="A50" s="15"/>
      <c r="B50" s="1" t="s">
        <v>10</v>
      </c>
      <c r="C50" s="1">
        <v>238.63</v>
      </c>
      <c r="D50" s="28">
        <v>19.508400000000002</v>
      </c>
      <c r="E50" s="17"/>
      <c r="G50" s="1" t="s">
        <v>10</v>
      </c>
      <c r="H50" s="1">
        <v>238.63</v>
      </c>
      <c r="I50" s="32">
        <v>4.28255032E-3</v>
      </c>
      <c r="J50" s="25"/>
      <c r="L50">
        <f t="shared" si="5"/>
        <v>19.50301694973</v>
      </c>
      <c r="X50" s="9" t="s">
        <v>10</v>
      </c>
      <c r="Y50" s="11">
        <v>7.7333699999999999</v>
      </c>
      <c r="AA50">
        <v>812.5</v>
      </c>
      <c r="AG50" s="9" t="s">
        <v>10</v>
      </c>
      <c r="AH50">
        <v>43.6</v>
      </c>
      <c r="AI50">
        <f t="shared" si="2"/>
        <v>0.436</v>
      </c>
    </row>
    <row r="51" spans="1:35" x14ac:dyDescent="0.3">
      <c r="A51" s="15"/>
      <c r="B51" s="1" t="s">
        <v>11</v>
      </c>
      <c r="C51" s="1">
        <v>911.21</v>
      </c>
      <c r="D51" s="28">
        <v>3.9626700000000001</v>
      </c>
      <c r="E51" s="38"/>
      <c r="G51" s="1" t="s">
        <v>11</v>
      </c>
      <c r="H51" s="1">
        <v>911.21</v>
      </c>
      <c r="L51">
        <f t="shared" si="5"/>
        <v>3.9626700000000001</v>
      </c>
      <c r="X51" s="9" t="s">
        <v>11</v>
      </c>
      <c r="Y51" s="11">
        <v>1.39327</v>
      </c>
      <c r="AA51">
        <v>812.5</v>
      </c>
      <c r="AG51" s="9" t="s">
        <v>11</v>
      </c>
      <c r="AH51">
        <v>25.8</v>
      </c>
      <c r="AI51">
        <f t="shared" si="2"/>
        <v>0.25800000000000001</v>
      </c>
    </row>
    <row r="52" spans="1:35" x14ac:dyDescent="0.3">
      <c r="A52" s="15"/>
      <c r="B52" s="1"/>
      <c r="C52" s="1">
        <v>968.97</v>
      </c>
      <c r="D52" s="28">
        <v>2.2930899999999999</v>
      </c>
      <c r="E52" s="17"/>
      <c r="G52" s="1"/>
      <c r="H52" s="1">
        <v>968.97</v>
      </c>
      <c r="L52">
        <f t="shared" si="5"/>
        <v>2.2930899999999999</v>
      </c>
      <c r="X52" s="9"/>
      <c r="Y52" s="11">
        <v>0.80701000000000001</v>
      </c>
      <c r="AA52">
        <v>812.5</v>
      </c>
      <c r="AG52" s="9"/>
      <c r="AH52">
        <v>15.8</v>
      </c>
      <c r="AI52">
        <f t="shared" si="2"/>
        <v>0.158</v>
      </c>
    </row>
    <row r="53" spans="1:35" x14ac:dyDescent="0.3">
      <c r="A53" s="15"/>
      <c r="B53" s="1"/>
      <c r="C53" s="1">
        <v>338.32</v>
      </c>
      <c r="D53" s="28">
        <v>3.8723800000000002</v>
      </c>
      <c r="E53" s="17"/>
      <c r="G53" s="1"/>
      <c r="H53" s="1">
        <v>338.32</v>
      </c>
      <c r="L53">
        <f t="shared" si="5"/>
        <v>3.8723800000000002</v>
      </c>
      <c r="X53" s="9"/>
      <c r="Y53" s="11">
        <v>1.42353</v>
      </c>
      <c r="AA53">
        <v>812.5</v>
      </c>
      <c r="AG53" s="9"/>
      <c r="AH53">
        <v>11.27</v>
      </c>
      <c r="AI53">
        <f t="shared" si="2"/>
        <v>0.11269999999999999</v>
      </c>
    </row>
    <row r="54" spans="1:35" x14ac:dyDescent="0.3">
      <c r="A54" s="15"/>
      <c r="B54" s="1" t="s">
        <v>12</v>
      </c>
      <c r="C54" s="1">
        <v>2614.5300000000002</v>
      </c>
      <c r="D54" s="28">
        <v>2.0161899999999999</v>
      </c>
      <c r="E54" s="17"/>
      <c r="G54" s="1" t="s">
        <v>12</v>
      </c>
      <c r="H54" s="1">
        <v>2614.5300000000002</v>
      </c>
      <c r="L54">
        <f t="shared" si="5"/>
        <v>2.0139422915999998</v>
      </c>
      <c r="U54">
        <f t="shared" si="1"/>
        <v>2336.3099300746726</v>
      </c>
      <c r="X54" s="9" t="s">
        <v>12</v>
      </c>
      <c r="Y54" s="11">
        <v>0.70038999999999996</v>
      </c>
      <c r="AA54">
        <v>812.5</v>
      </c>
      <c r="AG54" s="9" t="s">
        <v>12</v>
      </c>
      <c r="AH54">
        <v>99.754000000000005</v>
      </c>
      <c r="AI54">
        <f t="shared" si="2"/>
        <v>0.99754000000000009</v>
      </c>
    </row>
    <row r="55" spans="1:35" x14ac:dyDescent="0.3">
      <c r="A55" s="15"/>
      <c r="B55" s="1"/>
      <c r="C55" s="1">
        <v>583.19000000000005</v>
      </c>
      <c r="D55" s="28">
        <v>5.9412900000000004</v>
      </c>
      <c r="E55" s="17"/>
      <c r="G55" s="1"/>
      <c r="H55" s="1">
        <v>583.19000000000005</v>
      </c>
      <c r="L55">
        <f t="shared" si="5"/>
        <v>5.9412900000000004</v>
      </c>
      <c r="U55">
        <f t="shared" si="1"/>
        <v>2237.8959074114427</v>
      </c>
      <c r="X55" s="9"/>
      <c r="Y55" s="9">
        <v>2.15707</v>
      </c>
      <c r="AA55">
        <v>812.5</v>
      </c>
      <c r="AG55" s="9"/>
      <c r="AH55">
        <v>85</v>
      </c>
      <c r="AI55">
        <f t="shared" si="2"/>
        <v>0.85</v>
      </c>
    </row>
    <row r="56" spans="1:35" x14ac:dyDescent="0.3">
      <c r="A56" s="15"/>
      <c r="B56" s="1"/>
      <c r="C56" s="1">
        <v>510.77</v>
      </c>
      <c r="D56" s="28">
        <v>1.9478800000000001</v>
      </c>
      <c r="E56" s="17"/>
      <c r="G56" s="1"/>
      <c r="H56" s="1">
        <v>510.77</v>
      </c>
      <c r="I56" s="18"/>
      <c r="J56" s="18"/>
      <c r="L56">
        <f t="shared" si="5"/>
        <v>1.9478800000000001</v>
      </c>
      <c r="U56">
        <f t="shared" si="1"/>
        <v>2352.4421421882666</v>
      </c>
      <c r="X56" s="9"/>
      <c r="Y56" s="11">
        <v>0.67276999999999998</v>
      </c>
      <c r="AA56">
        <v>812.5</v>
      </c>
      <c r="AG56" s="9"/>
      <c r="AH56">
        <v>22.6</v>
      </c>
      <c r="AI56">
        <f t="shared" si="2"/>
        <v>0.22600000000000001</v>
      </c>
    </row>
    <row r="57" spans="1:35" x14ac:dyDescent="0.3">
      <c r="A57" s="15"/>
      <c r="B57" s="1"/>
      <c r="C57" s="1">
        <v>860.56</v>
      </c>
      <c r="D57" s="28">
        <v>0.67796999999999996</v>
      </c>
      <c r="E57" s="17"/>
      <c r="G57" s="1"/>
      <c r="H57" s="1">
        <v>860.56</v>
      </c>
      <c r="L57">
        <f t="shared" si="5"/>
        <v>0.67796999999999996</v>
      </c>
      <c r="U57">
        <f t="shared" si="1"/>
        <v>2251.8625827814567</v>
      </c>
      <c r="X57" s="9"/>
      <c r="Y57" s="11">
        <v>0.24462</v>
      </c>
      <c r="AA57">
        <v>812.5</v>
      </c>
      <c r="AG57" s="9"/>
      <c r="AH57">
        <v>12.5</v>
      </c>
      <c r="AI57">
        <f t="shared" si="2"/>
        <v>0.125</v>
      </c>
    </row>
    <row r="58" spans="1:35" x14ac:dyDescent="0.3">
      <c r="A58" s="21">
        <v>6</v>
      </c>
      <c r="B58" s="1" t="s">
        <v>7</v>
      </c>
      <c r="C58" s="1">
        <v>351.93</v>
      </c>
      <c r="D58" s="30">
        <v>6.1359999999999998E-2</v>
      </c>
      <c r="E58" s="17"/>
      <c r="F58" t="s">
        <v>216</v>
      </c>
      <c r="G58" s="1" t="s">
        <v>7</v>
      </c>
      <c r="H58" s="1">
        <v>351.93</v>
      </c>
      <c r="I58" s="34">
        <v>2.5498923600000001E-3</v>
      </c>
      <c r="J58" s="20"/>
      <c r="K58">
        <v>6</v>
      </c>
      <c r="L58">
        <f>D58-I16</f>
        <v>6.1359999999999998E-2</v>
      </c>
      <c r="T58">
        <v>6</v>
      </c>
      <c r="U58">
        <f t="shared" si="1"/>
        <v>10.996120634625875</v>
      </c>
      <c r="X58" s="9" t="s">
        <v>7</v>
      </c>
      <c r="Y58" s="11">
        <v>6.8928799999999999</v>
      </c>
      <c r="AA58">
        <v>1235.25</v>
      </c>
      <c r="AG58" s="9" t="s">
        <v>7</v>
      </c>
      <c r="AH58">
        <v>35.72</v>
      </c>
      <c r="AI58">
        <f>AH58/100</f>
        <v>0.35719999999999996</v>
      </c>
    </row>
    <row r="59" spans="1:35" x14ac:dyDescent="0.3">
      <c r="A59" s="15"/>
      <c r="B59" s="1"/>
      <c r="C59" s="1">
        <v>295.22000000000003</v>
      </c>
      <c r="D59" s="30">
        <v>3.5299999999999998E-2</v>
      </c>
      <c r="E59" s="17"/>
      <c r="G59" s="1"/>
      <c r="H59" s="1">
        <v>295.22000000000003</v>
      </c>
      <c r="L59">
        <f t="shared" ref="L59:L71" si="6">D59-I17</f>
        <v>3.5299999999999998E-2</v>
      </c>
      <c r="U59">
        <f t="shared" si="1"/>
        <v>10.686548783177706</v>
      </c>
      <c r="X59" s="9"/>
      <c r="Y59" s="11">
        <v>4.0803000000000003</v>
      </c>
      <c r="AA59">
        <v>1235.25</v>
      </c>
      <c r="AG59" s="9"/>
      <c r="AH59">
        <v>18.47</v>
      </c>
      <c r="AI59">
        <f t="shared" si="2"/>
        <v>0.18469999999999998</v>
      </c>
    </row>
    <row r="60" spans="1:35" x14ac:dyDescent="0.3">
      <c r="A60" s="15"/>
      <c r="B60" s="1" t="s">
        <v>8</v>
      </c>
      <c r="C60" s="1">
        <v>609.32000000000005</v>
      </c>
      <c r="D60" s="30">
        <v>4.3240000000000001E-2</v>
      </c>
      <c r="E60" s="25"/>
      <c r="G60" s="1" t="s">
        <v>8</v>
      </c>
      <c r="H60" s="1">
        <v>609.32000000000005</v>
      </c>
      <c r="I60" s="18"/>
      <c r="J60" s="18"/>
      <c r="L60">
        <f t="shared" si="6"/>
        <v>4.3240000000000001E-2</v>
      </c>
      <c r="U60">
        <f t="shared" si="1"/>
        <v>10.953879124710321</v>
      </c>
      <c r="X60" s="9" t="s">
        <v>8</v>
      </c>
      <c r="Y60" s="11">
        <v>4.8761000000000001</v>
      </c>
      <c r="AA60">
        <v>1235.25</v>
      </c>
      <c r="AG60" s="9" t="s">
        <v>8</v>
      </c>
      <c r="AH60">
        <v>45.44</v>
      </c>
      <c r="AI60">
        <f t="shared" si="2"/>
        <v>0.45439999999999997</v>
      </c>
    </row>
    <row r="61" spans="1:35" x14ac:dyDescent="0.3">
      <c r="A61" s="15"/>
      <c r="B61" s="1"/>
      <c r="C61" s="1">
        <v>1764.49</v>
      </c>
      <c r="D61" s="31">
        <v>5.7285910799999996E-3</v>
      </c>
      <c r="E61" s="25"/>
      <c r="G61" s="1"/>
      <c r="H61" s="1">
        <v>1764.49</v>
      </c>
      <c r="L61">
        <f t="shared" si="6"/>
        <v>5.7285910799999996E-3</v>
      </c>
      <c r="U61">
        <f t="shared" si="1"/>
        <v>9.2907963494170467</v>
      </c>
      <c r="X61" s="9"/>
      <c r="Y61" s="11">
        <v>0.76163999999999998</v>
      </c>
      <c r="AA61">
        <v>1235.25</v>
      </c>
      <c r="AG61" s="9"/>
      <c r="AH61">
        <v>15.29</v>
      </c>
      <c r="AI61">
        <f t="shared" si="2"/>
        <v>0.15289999999999998</v>
      </c>
    </row>
    <row r="62" spans="1:35" x14ac:dyDescent="0.3">
      <c r="A62" s="15"/>
      <c r="B62" s="1"/>
      <c r="C62" s="1">
        <v>1120.29</v>
      </c>
      <c r="D62" s="32">
        <v>7.6211673600000002E-3</v>
      </c>
      <c r="E62" s="25"/>
      <c r="G62" s="1"/>
      <c r="H62" s="1">
        <v>1120.29</v>
      </c>
      <c r="L62">
        <f t="shared" si="6"/>
        <v>7.6211673600000002E-3</v>
      </c>
      <c r="U62">
        <f t="shared" si="1"/>
        <v>9.5978457271142386</v>
      </c>
      <c r="X62" s="9"/>
      <c r="Y62" s="11">
        <v>0.98085</v>
      </c>
      <c r="AA62">
        <v>1235.25</v>
      </c>
      <c r="AG62" s="9"/>
      <c r="AH62">
        <v>14.9</v>
      </c>
      <c r="AI62">
        <f t="shared" si="2"/>
        <v>0.14899999999999999</v>
      </c>
    </row>
    <row r="63" spans="1:35" x14ac:dyDescent="0.3">
      <c r="A63" s="15"/>
      <c r="B63" s="1" t="s">
        <v>9</v>
      </c>
      <c r="C63" s="1">
        <v>1460.82</v>
      </c>
      <c r="D63" s="32">
        <v>8.5925682499999999E-3</v>
      </c>
      <c r="E63" s="25"/>
      <c r="G63" s="1" t="s">
        <v>9</v>
      </c>
      <c r="H63" s="1">
        <v>1460.82</v>
      </c>
      <c r="I63" s="32">
        <v>4.8856759800000003E-3</v>
      </c>
      <c r="J63" s="25"/>
      <c r="L63">
        <f t="shared" si="6"/>
        <v>2.7680013099999996E-3</v>
      </c>
      <c r="X63" s="9" t="s">
        <v>9</v>
      </c>
      <c r="Y63" s="9">
        <v>1.74254</v>
      </c>
      <c r="AA63">
        <v>3545</v>
      </c>
      <c r="AG63" s="9" t="s">
        <v>9</v>
      </c>
      <c r="AH63">
        <v>10.66</v>
      </c>
      <c r="AI63">
        <f t="shared" si="2"/>
        <v>0.1066</v>
      </c>
    </row>
    <row r="64" spans="1:35" x14ac:dyDescent="0.3">
      <c r="A64" s="15"/>
      <c r="B64" s="1" t="s">
        <v>10</v>
      </c>
      <c r="C64" s="1">
        <v>238.63</v>
      </c>
      <c r="D64" s="30">
        <v>0.22578999999999999</v>
      </c>
      <c r="E64" s="25"/>
      <c r="G64" s="1" t="s">
        <v>10</v>
      </c>
      <c r="H64" s="1">
        <v>238.63</v>
      </c>
      <c r="I64" s="20"/>
      <c r="J64" s="20"/>
      <c r="L64">
        <f t="shared" si="6"/>
        <v>0.22040694973</v>
      </c>
      <c r="X64" s="9" t="s">
        <v>10</v>
      </c>
      <c r="Y64" s="11">
        <v>7.7333699999999999</v>
      </c>
      <c r="AA64">
        <v>812.5</v>
      </c>
      <c r="AG64" s="9" t="s">
        <v>10</v>
      </c>
      <c r="AH64">
        <v>43.6</v>
      </c>
      <c r="AI64">
        <f t="shared" si="2"/>
        <v>0.436</v>
      </c>
    </row>
    <row r="65" spans="1:35" x14ac:dyDescent="0.3">
      <c r="A65" s="15"/>
      <c r="B65" s="1" t="s">
        <v>11</v>
      </c>
      <c r="C65" s="1">
        <v>911.21</v>
      </c>
      <c r="D65" s="30">
        <v>4.0809999999999999E-2</v>
      </c>
      <c r="E65" s="25"/>
      <c r="G65" s="1" t="s">
        <v>11</v>
      </c>
      <c r="H65" s="1">
        <v>911.21</v>
      </c>
      <c r="L65">
        <f t="shared" si="6"/>
        <v>4.0809999999999999E-2</v>
      </c>
      <c r="X65" s="9" t="s">
        <v>11</v>
      </c>
      <c r="Y65" s="11">
        <v>1.39327</v>
      </c>
      <c r="AA65">
        <v>812.5</v>
      </c>
      <c r="AG65" s="9" t="s">
        <v>11</v>
      </c>
      <c r="AH65">
        <v>25.8</v>
      </c>
      <c r="AI65">
        <f t="shared" si="2"/>
        <v>0.25800000000000001</v>
      </c>
    </row>
    <row r="66" spans="1:35" x14ac:dyDescent="0.3">
      <c r="A66" s="15"/>
      <c r="B66" s="1"/>
      <c r="C66" s="1">
        <v>968.97</v>
      </c>
      <c r="D66" s="30">
        <v>2.3380000000000001E-2</v>
      </c>
      <c r="E66" s="25"/>
      <c r="G66" s="1"/>
      <c r="H66" s="1">
        <v>968.97</v>
      </c>
      <c r="L66">
        <f t="shared" si="6"/>
        <v>2.3380000000000001E-2</v>
      </c>
      <c r="X66" s="9"/>
      <c r="Y66" s="11">
        <v>0.80701000000000001</v>
      </c>
      <c r="AA66">
        <v>812.5</v>
      </c>
      <c r="AG66" s="9"/>
      <c r="AH66">
        <v>15.8</v>
      </c>
      <c r="AI66">
        <f t="shared" si="2"/>
        <v>0.158</v>
      </c>
    </row>
    <row r="67" spans="1:35" x14ac:dyDescent="0.3">
      <c r="A67" s="15"/>
      <c r="B67" s="1"/>
      <c r="C67" s="1">
        <v>338.32</v>
      </c>
      <c r="D67" s="30">
        <v>4.1689999999999998E-2</v>
      </c>
      <c r="E67" s="25"/>
      <c r="G67" s="1"/>
      <c r="H67" s="1">
        <v>338.32</v>
      </c>
      <c r="L67">
        <f t="shared" si="6"/>
        <v>4.1689999999999998E-2</v>
      </c>
      <c r="X67" s="9"/>
      <c r="Y67" s="11">
        <v>1.42353</v>
      </c>
      <c r="AA67">
        <v>812.5</v>
      </c>
      <c r="AG67" s="9"/>
      <c r="AH67">
        <v>11.27</v>
      </c>
      <c r="AI67">
        <f t="shared" ref="AI67:AI85" si="7">AH67/100</f>
        <v>0.11269999999999999</v>
      </c>
    </row>
    <row r="68" spans="1:35" x14ac:dyDescent="0.3">
      <c r="A68" s="15"/>
      <c r="B68" s="1" t="s">
        <v>12</v>
      </c>
      <c r="C68" s="1">
        <v>2614.5300000000002</v>
      </c>
      <c r="D68" s="33">
        <v>2.4289999999999999E-2</v>
      </c>
      <c r="E68" s="25"/>
      <c r="G68" s="1" t="s">
        <v>12</v>
      </c>
      <c r="H68" s="1">
        <v>2614.5300000000002</v>
      </c>
      <c r="L68">
        <f t="shared" si="6"/>
        <v>2.20422916E-2</v>
      </c>
      <c r="U68">
        <f t="shared" ref="U68:U130" si="8">(L68/Y68)*AA68</f>
        <v>25.570556297205847</v>
      </c>
      <c r="X68" s="9" t="s">
        <v>12</v>
      </c>
      <c r="Y68" s="11">
        <v>0.70038999999999996</v>
      </c>
      <c r="AA68">
        <v>812.5</v>
      </c>
      <c r="AG68" s="9" t="s">
        <v>12</v>
      </c>
      <c r="AH68">
        <v>99.754000000000005</v>
      </c>
      <c r="AI68">
        <f t="shared" si="7"/>
        <v>0.99754000000000009</v>
      </c>
    </row>
    <row r="69" spans="1:35" x14ac:dyDescent="0.3">
      <c r="A69" s="15"/>
      <c r="B69" s="1"/>
      <c r="C69" s="1">
        <v>583.19000000000005</v>
      </c>
      <c r="D69" s="30">
        <v>6.2469999999999998E-2</v>
      </c>
      <c r="E69" s="25"/>
      <c r="G69" s="1"/>
      <c r="H69" s="1">
        <v>583.19000000000005</v>
      </c>
      <c r="L69">
        <f t="shared" si="6"/>
        <v>6.2469999999999998E-2</v>
      </c>
      <c r="U69">
        <f t="shared" si="8"/>
        <v>23.530471890110196</v>
      </c>
      <c r="X69" s="9"/>
      <c r="Y69" s="9">
        <v>2.15707</v>
      </c>
      <c r="AA69">
        <v>812.5</v>
      </c>
      <c r="AG69" s="9"/>
      <c r="AH69">
        <v>85</v>
      </c>
      <c r="AI69">
        <f t="shared" si="7"/>
        <v>0.85</v>
      </c>
    </row>
    <row r="70" spans="1:35" x14ac:dyDescent="0.3">
      <c r="A70" s="15"/>
      <c r="B70" s="1"/>
      <c r="C70" s="1">
        <v>510.77</v>
      </c>
      <c r="D70" s="30">
        <v>3.8989999999999997E-2</v>
      </c>
      <c r="E70" s="25"/>
      <c r="G70" s="1"/>
      <c r="H70" s="1">
        <v>510.77</v>
      </c>
      <c r="I70" s="18"/>
      <c r="J70" s="18"/>
      <c r="L70">
        <f t="shared" si="6"/>
        <v>3.8989999999999997E-2</v>
      </c>
      <c r="U70">
        <f t="shared" si="8"/>
        <v>47.087972115284572</v>
      </c>
      <c r="X70" s="9"/>
      <c r="Y70" s="11">
        <v>0.67276999999999998</v>
      </c>
      <c r="AA70">
        <v>812.5</v>
      </c>
      <c r="AG70" s="9"/>
      <c r="AH70">
        <v>22.6</v>
      </c>
      <c r="AI70">
        <f t="shared" si="7"/>
        <v>0.22600000000000001</v>
      </c>
    </row>
    <row r="71" spans="1:35" x14ac:dyDescent="0.3">
      <c r="A71" s="15"/>
      <c r="B71" s="1"/>
      <c r="C71" s="1">
        <v>860.56</v>
      </c>
      <c r="D71" s="31">
        <v>6.3352855699999999E-3</v>
      </c>
      <c r="E71" s="25"/>
      <c r="G71" s="1"/>
      <c r="H71" s="1">
        <v>860.56</v>
      </c>
      <c r="L71">
        <f t="shared" si="6"/>
        <v>6.3352855699999999E-3</v>
      </c>
      <c r="U71">
        <f t="shared" si="8"/>
        <v>21.042512981869837</v>
      </c>
      <c r="X71" s="9"/>
      <c r="Y71" s="11">
        <v>0.24462</v>
      </c>
      <c r="AA71">
        <v>812.5</v>
      </c>
      <c r="AG71" s="9"/>
      <c r="AH71">
        <v>12.5</v>
      </c>
      <c r="AI71">
        <f t="shared" si="7"/>
        <v>0.125</v>
      </c>
    </row>
    <row r="72" spans="1:35" x14ac:dyDescent="0.3">
      <c r="A72" s="15">
        <v>7</v>
      </c>
      <c r="B72" s="1" t="s">
        <v>7</v>
      </c>
      <c r="C72" s="1">
        <v>351.93</v>
      </c>
      <c r="D72" s="28">
        <v>5.4020700000000001</v>
      </c>
      <c r="E72" s="25"/>
      <c r="F72" t="s">
        <v>37</v>
      </c>
      <c r="G72" s="9" t="s">
        <v>7</v>
      </c>
      <c r="H72" s="1">
        <v>351.93</v>
      </c>
      <c r="I72" s="20"/>
      <c r="J72" s="20"/>
      <c r="K72">
        <v>7</v>
      </c>
      <c r="L72">
        <f>D72-I16</f>
        <v>5.4020700000000001</v>
      </c>
      <c r="T72">
        <v>7</v>
      </c>
      <c r="U72">
        <f t="shared" si="8"/>
        <v>968.08691976358216</v>
      </c>
      <c r="X72" s="9" t="s">
        <v>7</v>
      </c>
      <c r="Y72" s="11">
        <v>6.8928799999999999</v>
      </c>
      <c r="AA72">
        <v>1235.25</v>
      </c>
      <c r="AG72" s="9" t="s">
        <v>7</v>
      </c>
      <c r="AH72">
        <v>35.72</v>
      </c>
      <c r="AI72">
        <f>AH72/100</f>
        <v>0.35719999999999996</v>
      </c>
    </row>
    <row r="73" spans="1:35" x14ac:dyDescent="0.3">
      <c r="A73" s="15"/>
      <c r="B73" s="1"/>
      <c r="C73" s="1">
        <v>295.22000000000003</v>
      </c>
      <c r="D73" s="28">
        <v>3.2126800000000002</v>
      </c>
      <c r="E73" s="25"/>
      <c r="G73" s="9"/>
      <c r="H73" s="1">
        <v>295.22000000000003</v>
      </c>
      <c r="L73">
        <f t="shared" ref="L73:L85" si="9">D73-I17</f>
        <v>3.2126800000000002</v>
      </c>
      <c r="U73">
        <f t="shared" si="8"/>
        <v>972.59097860451436</v>
      </c>
      <c r="X73" s="9"/>
      <c r="Y73" s="11">
        <v>4.0803000000000003</v>
      </c>
      <c r="AA73">
        <v>1235.25</v>
      </c>
      <c r="AG73" s="9"/>
      <c r="AH73">
        <v>18.47</v>
      </c>
      <c r="AI73">
        <f t="shared" si="7"/>
        <v>0.18469999999999998</v>
      </c>
    </row>
    <row r="74" spans="1:35" x14ac:dyDescent="0.3">
      <c r="A74" s="15"/>
      <c r="B74" s="1" t="s">
        <v>8</v>
      </c>
      <c r="C74" s="1">
        <v>609.32000000000005</v>
      </c>
      <c r="D74" s="28">
        <v>3.8242600000000002</v>
      </c>
      <c r="E74" s="17"/>
      <c r="G74" s="9" t="s">
        <v>8</v>
      </c>
      <c r="H74" s="1">
        <v>609.32000000000005</v>
      </c>
      <c r="L74">
        <f t="shared" si="9"/>
        <v>3.8242600000000002</v>
      </c>
      <c r="U74">
        <f t="shared" si="8"/>
        <v>968.79005045015481</v>
      </c>
      <c r="X74" s="9" t="s">
        <v>8</v>
      </c>
      <c r="Y74" s="11">
        <v>4.8761000000000001</v>
      </c>
      <c r="AA74">
        <v>1235.25</v>
      </c>
      <c r="AG74" s="9" t="s">
        <v>8</v>
      </c>
      <c r="AH74">
        <v>45.44</v>
      </c>
      <c r="AI74">
        <f t="shared" si="7"/>
        <v>0.45439999999999997</v>
      </c>
    </row>
    <row r="75" spans="1:35" x14ac:dyDescent="0.3">
      <c r="A75" s="15"/>
      <c r="B75" s="1"/>
      <c r="C75" s="1">
        <v>1764.49</v>
      </c>
      <c r="D75" s="28">
        <v>0.59765999999999997</v>
      </c>
      <c r="E75" s="17"/>
      <c r="G75" s="9"/>
      <c r="H75" s="1">
        <v>1764.49</v>
      </c>
      <c r="L75">
        <f t="shared" si="9"/>
        <v>0.59765999999999997</v>
      </c>
      <c r="U75">
        <f t="shared" si="8"/>
        <v>969.30244603749804</v>
      </c>
      <c r="X75" s="9"/>
      <c r="Y75" s="11">
        <v>0.76163999999999998</v>
      </c>
      <c r="AA75">
        <v>1235.25</v>
      </c>
      <c r="AG75" s="9"/>
      <c r="AH75">
        <v>15.29</v>
      </c>
      <c r="AI75">
        <f t="shared" si="7"/>
        <v>0.15289999999999998</v>
      </c>
    </row>
    <row r="76" spans="1:35" x14ac:dyDescent="0.3">
      <c r="A76" s="15"/>
      <c r="B76" s="1"/>
      <c r="C76" s="1">
        <v>1120.29</v>
      </c>
      <c r="D76" s="28">
        <v>0.78246000000000004</v>
      </c>
      <c r="E76" s="17"/>
      <c r="G76" s="9"/>
      <c r="H76" s="9">
        <v>1120.29</v>
      </c>
      <c r="L76">
        <f t="shared" si="9"/>
        <v>0.78246000000000004</v>
      </c>
      <c r="U76">
        <f t="shared" si="8"/>
        <v>985.40420553601473</v>
      </c>
      <c r="X76" s="9"/>
      <c r="Y76" s="11">
        <v>0.98085</v>
      </c>
      <c r="AA76">
        <v>1235.25</v>
      </c>
      <c r="AG76" s="9"/>
      <c r="AH76">
        <v>14.9</v>
      </c>
      <c r="AI76">
        <f t="shared" si="7"/>
        <v>0.14899999999999999</v>
      </c>
    </row>
    <row r="77" spans="1:35" x14ac:dyDescent="0.3">
      <c r="A77" s="15"/>
      <c r="B77" s="1" t="s">
        <v>9</v>
      </c>
      <c r="C77" s="1">
        <v>1460.82</v>
      </c>
      <c r="D77" s="28">
        <v>9.4839999999999994E-2</v>
      </c>
      <c r="E77" s="38"/>
      <c r="G77" s="9" t="s">
        <v>9</v>
      </c>
      <c r="H77" s="9">
        <v>1460.82</v>
      </c>
      <c r="I77" s="34">
        <v>5.9606409500000002E-3</v>
      </c>
      <c r="J77" s="20"/>
      <c r="L77">
        <f t="shared" si="9"/>
        <v>8.9015433059999996E-2</v>
      </c>
      <c r="X77" s="9" t="s">
        <v>9</v>
      </c>
      <c r="Y77" s="9">
        <v>1.74254</v>
      </c>
      <c r="AA77">
        <v>3545</v>
      </c>
      <c r="AG77" s="9" t="s">
        <v>9</v>
      </c>
      <c r="AH77">
        <v>10.66</v>
      </c>
      <c r="AI77">
        <f t="shared" si="7"/>
        <v>0.1066</v>
      </c>
    </row>
    <row r="78" spans="1:35" x14ac:dyDescent="0.3">
      <c r="A78" s="15"/>
      <c r="B78" s="1" t="s">
        <v>10</v>
      </c>
      <c r="C78" s="1">
        <v>238.63</v>
      </c>
      <c r="D78" s="28">
        <v>21.03227</v>
      </c>
      <c r="E78" s="17"/>
      <c r="G78" s="9" t="s">
        <v>10</v>
      </c>
      <c r="H78" s="9">
        <v>238.63</v>
      </c>
      <c r="L78">
        <f t="shared" si="9"/>
        <v>21.026886949729999</v>
      </c>
      <c r="X78" s="9" t="s">
        <v>10</v>
      </c>
      <c r="Y78" s="11">
        <v>7.7333699999999999</v>
      </c>
      <c r="AA78">
        <v>812.5</v>
      </c>
      <c r="AG78" s="9" t="s">
        <v>10</v>
      </c>
      <c r="AH78">
        <v>43.6</v>
      </c>
      <c r="AI78">
        <f t="shared" si="7"/>
        <v>0.436</v>
      </c>
    </row>
    <row r="79" spans="1:35" x14ac:dyDescent="0.3">
      <c r="A79" s="15"/>
      <c r="B79" s="1" t="s">
        <v>11</v>
      </c>
      <c r="C79" s="1">
        <v>911.21</v>
      </c>
      <c r="D79" s="28">
        <v>3.85616</v>
      </c>
      <c r="E79" s="38"/>
      <c r="G79" s="9" t="s">
        <v>11</v>
      </c>
      <c r="H79" s="9">
        <v>911.21</v>
      </c>
      <c r="L79">
        <f t="shared" si="9"/>
        <v>3.85616</v>
      </c>
      <c r="X79" s="9" t="s">
        <v>11</v>
      </c>
      <c r="Y79" s="11">
        <v>1.39327</v>
      </c>
      <c r="AA79">
        <v>812.5</v>
      </c>
      <c r="AG79" s="9" t="s">
        <v>11</v>
      </c>
      <c r="AH79">
        <v>25.8</v>
      </c>
      <c r="AI79">
        <f t="shared" si="7"/>
        <v>0.25800000000000001</v>
      </c>
    </row>
    <row r="80" spans="1:35" x14ac:dyDescent="0.3">
      <c r="A80" s="15"/>
      <c r="B80" s="1"/>
      <c r="C80" s="1">
        <v>968.97</v>
      </c>
      <c r="D80" s="28">
        <v>2.2327300000000001</v>
      </c>
      <c r="E80" s="17"/>
      <c r="G80" s="9"/>
      <c r="H80" s="9">
        <v>968.97</v>
      </c>
      <c r="L80">
        <f t="shared" si="9"/>
        <v>2.2327300000000001</v>
      </c>
      <c r="X80" s="9"/>
      <c r="Y80" s="11">
        <v>0.80701000000000001</v>
      </c>
      <c r="AA80">
        <v>812.5</v>
      </c>
      <c r="AG80" s="9"/>
      <c r="AH80">
        <v>15.8</v>
      </c>
      <c r="AI80">
        <f t="shared" si="7"/>
        <v>0.158</v>
      </c>
    </row>
    <row r="81" spans="1:35" x14ac:dyDescent="0.3">
      <c r="A81" s="15"/>
      <c r="B81" s="1"/>
      <c r="C81" s="1">
        <v>338.32</v>
      </c>
      <c r="D81" s="28">
        <v>3.9106399999999999</v>
      </c>
      <c r="E81" s="17"/>
      <c r="G81" s="9"/>
      <c r="H81" s="9">
        <v>338.32</v>
      </c>
      <c r="L81">
        <f t="shared" si="9"/>
        <v>3.9106399999999999</v>
      </c>
      <c r="X81" s="9"/>
      <c r="Y81" s="11">
        <v>1.42353</v>
      </c>
      <c r="AA81">
        <v>812.5</v>
      </c>
      <c r="AG81" s="9"/>
      <c r="AH81">
        <v>11.27</v>
      </c>
      <c r="AI81">
        <f t="shared" si="7"/>
        <v>0.11269999999999999</v>
      </c>
    </row>
    <row r="82" spans="1:35" x14ac:dyDescent="0.3">
      <c r="A82" s="15"/>
      <c r="B82" s="1" t="s">
        <v>12</v>
      </c>
      <c r="C82" s="1">
        <v>2614.5300000000002</v>
      </c>
      <c r="D82" s="28">
        <v>1.9287799999999999</v>
      </c>
      <c r="E82" s="17"/>
      <c r="G82" s="9" t="s">
        <v>12</v>
      </c>
      <c r="H82" s="23">
        <v>2614.5300000000002</v>
      </c>
      <c r="L82">
        <f t="shared" si="9"/>
        <v>1.9265322915999998</v>
      </c>
      <c r="U82">
        <f t="shared" si="8"/>
        <v>2234.9083895044191</v>
      </c>
      <c r="X82" s="9" t="s">
        <v>12</v>
      </c>
      <c r="Y82" s="11">
        <v>0.70038999999999996</v>
      </c>
      <c r="AA82">
        <v>812.5</v>
      </c>
      <c r="AG82" s="9" t="s">
        <v>12</v>
      </c>
      <c r="AH82">
        <v>99.754000000000005</v>
      </c>
      <c r="AI82">
        <f t="shared" si="7"/>
        <v>0.99754000000000009</v>
      </c>
    </row>
    <row r="83" spans="1:35" x14ac:dyDescent="0.3">
      <c r="A83" s="15"/>
      <c r="B83" s="1"/>
      <c r="C83" s="1">
        <v>583.19000000000005</v>
      </c>
      <c r="D83" s="28">
        <v>5.9160300000000001</v>
      </c>
      <c r="E83" s="17"/>
      <c r="G83" s="9"/>
      <c r="H83" s="9">
        <v>583.19000000000005</v>
      </c>
      <c r="I83" s="20"/>
      <c r="J83" s="20"/>
      <c r="L83">
        <f t="shared" si="9"/>
        <v>5.9160300000000001</v>
      </c>
      <c r="U83">
        <f t="shared" si="8"/>
        <v>2228.3812648639127</v>
      </c>
      <c r="X83" s="9"/>
      <c r="Y83" s="9">
        <v>2.15707</v>
      </c>
      <c r="AA83">
        <v>812.5</v>
      </c>
      <c r="AG83" s="9"/>
      <c r="AH83">
        <v>85</v>
      </c>
      <c r="AI83">
        <f t="shared" si="7"/>
        <v>0.85</v>
      </c>
    </row>
    <row r="84" spans="1:35" x14ac:dyDescent="0.3">
      <c r="A84" s="15"/>
      <c r="B84" s="1"/>
      <c r="C84" s="1">
        <v>510.77</v>
      </c>
      <c r="D84" s="28">
        <v>1.82189</v>
      </c>
      <c r="E84" s="17"/>
      <c r="G84" s="9"/>
      <c r="H84" s="9">
        <v>510.77</v>
      </c>
      <c r="I84" s="19"/>
      <c r="J84" s="19"/>
      <c r="L84">
        <f t="shared" si="9"/>
        <v>1.82189</v>
      </c>
      <c r="U84">
        <f t="shared" si="8"/>
        <v>2200.2848298824265</v>
      </c>
      <c r="X84" s="9"/>
      <c r="Y84" s="11">
        <v>0.67276999999999998</v>
      </c>
      <c r="AA84">
        <v>812.5</v>
      </c>
      <c r="AG84" s="9"/>
      <c r="AH84">
        <v>22.6</v>
      </c>
      <c r="AI84">
        <f t="shared" si="7"/>
        <v>0.22600000000000001</v>
      </c>
    </row>
    <row r="85" spans="1:35" x14ac:dyDescent="0.3">
      <c r="A85" s="15"/>
      <c r="B85" s="1"/>
      <c r="C85" s="1">
        <v>860.56</v>
      </c>
      <c r="D85" s="28">
        <v>0.66524000000000005</v>
      </c>
      <c r="E85" s="17"/>
      <c r="G85" s="9"/>
      <c r="H85" s="9">
        <v>860.56</v>
      </c>
      <c r="L85">
        <f t="shared" si="9"/>
        <v>0.66524000000000005</v>
      </c>
      <c r="U85">
        <f t="shared" si="8"/>
        <v>2209.5801651541165</v>
      </c>
      <c r="X85" s="9"/>
      <c r="Y85" s="11">
        <v>0.24462</v>
      </c>
      <c r="AA85">
        <v>812.5</v>
      </c>
      <c r="AG85" s="9"/>
      <c r="AH85">
        <v>12.5</v>
      </c>
      <c r="AI85">
        <f t="shared" si="7"/>
        <v>0.125</v>
      </c>
    </row>
    <row r="86" spans="1:35" x14ac:dyDescent="0.3">
      <c r="A86" s="15">
        <v>8</v>
      </c>
      <c r="B86" s="1" t="s">
        <v>7</v>
      </c>
      <c r="C86" s="1">
        <v>351.93</v>
      </c>
      <c r="D86" s="30">
        <v>3.2261099999999998</v>
      </c>
      <c r="E86" s="17"/>
      <c r="F86" t="s">
        <v>38</v>
      </c>
      <c r="G86" s="9" t="s">
        <v>7</v>
      </c>
      <c r="H86" s="1">
        <v>351.93</v>
      </c>
      <c r="I86" s="34">
        <v>2.8338928900000001E-3</v>
      </c>
      <c r="J86" s="20"/>
      <c r="K86">
        <v>8</v>
      </c>
      <c r="L86">
        <f>D86-I16</f>
        <v>3.2261099999999998</v>
      </c>
      <c r="T86">
        <v>8</v>
      </c>
      <c r="U86">
        <f t="shared" si="8"/>
        <v>578.14039668469491</v>
      </c>
      <c r="X86" s="9" t="s">
        <v>7</v>
      </c>
      <c r="Y86" s="11">
        <v>6.8928799999999999</v>
      </c>
      <c r="AA86">
        <v>1235.25</v>
      </c>
      <c r="AG86" s="9" t="s">
        <v>7</v>
      </c>
      <c r="AH86">
        <v>35.72</v>
      </c>
      <c r="AI86">
        <f>AH86/100</f>
        <v>0.35719999999999996</v>
      </c>
    </row>
    <row r="87" spans="1:35" x14ac:dyDescent="0.3">
      <c r="A87" s="15"/>
      <c r="B87" s="1"/>
      <c r="C87" s="1">
        <v>295.22000000000003</v>
      </c>
      <c r="D87" s="30">
        <v>1.90855</v>
      </c>
      <c r="E87" s="17"/>
      <c r="G87" s="9"/>
      <c r="H87" s="1">
        <v>295.22000000000003</v>
      </c>
      <c r="L87">
        <f t="shared" ref="L87:L99" si="10">D87-I17</f>
        <v>1.90855</v>
      </c>
      <c r="U87">
        <f t="shared" si="8"/>
        <v>577.78506176016458</v>
      </c>
      <c r="X87" s="9"/>
      <c r="Y87" s="11">
        <v>4.0803000000000003</v>
      </c>
      <c r="AA87">
        <v>1235.25</v>
      </c>
      <c r="AG87" s="9"/>
      <c r="AH87">
        <v>18.47</v>
      </c>
      <c r="AI87">
        <f t="shared" ref="AI87:AI113" si="11">AH87/100</f>
        <v>0.18469999999999998</v>
      </c>
    </row>
    <row r="88" spans="1:35" x14ac:dyDescent="0.3">
      <c r="A88" s="15"/>
      <c r="B88" s="1" t="s">
        <v>8</v>
      </c>
      <c r="C88" s="1">
        <v>609.32000000000005</v>
      </c>
      <c r="D88" s="30">
        <v>2.2885200000000001</v>
      </c>
      <c r="E88" s="18"/>
      <c r="G88" s="9" t="s">
        <v>8</v>
      </c>
      <c r="H88" s="23">
        <v>609.32000000000005</v>
      </c>
      <c r="L88">
        <f t="shared" si="10"/>
        <v>2.2885200000000001</v>
      </c>
      <c r="U88">
        <f t="shared" si="8"/>
        <v>579.74494575582946</v>
      </c>
      <c r="X88" s="9" t="s">
        <v>8</v>
      </c>
      <c r="Y88" s="11">
        <v>4.8761000000000001</v>
      </c>
      <c r="AA88">
        <v>1235.25</v>
      </c>
      <c r="AG88" s="9" t="s">
        <v>8</v>
      </c>
      <c r="AH88">
        <v>45.44</v>
      </c>
      <c r="AI88">
        <f t="shared" si="11"/>
        <v>0.45439999999999997</v>
      </c>
    </row>
    <row r="89" spans="1:35" x14ac:dyDescent="0.3">
      <c r="A89" s="15"/>
      <c r="B89" s="1"/>
      <c r="C89" s="1">
        <v>1764.49</v>
      </c>
      <c r="D89" s="30">
        <v>0.35025000000000001</v>
      </c>
      <c r="E89" s="18"/>
      <c r="G89" s="9"/>
      <c r="H89" s="1">
        <v>1764.49</v>
      </c>
      <c r="L89">
        <f t="shared" si="10"/>
        <v>0.35025000000000001</v>
      </c>
      <c r="U89">
        <f t="shared" si="8"/>
        <v>568.0456810304081</v>
      </c>
      <c r="X89" s="9"/>
      <c r="Y89" s="11">
        <v>0.76163999999999998</v>
      </c>
      <c r="AA89">
        <v>1235.25</v>
      </c>
      <c r="AG89" s="9"/>
      <c r="AH89">
        <v>15.29</v>
      </c>
      <c r="AI89">
        <f t="shared" si="11"/>
        <v>0.15289999999999998</v>
      </c>
    </row>
    <row r="90" spans="1:35" x14ac:dyDescent="0.3">
      <c r="A90" s="15"/>
      <c r="B90" s="1"/>
      <c r="C90" s="1">
        <v>1120.29</v>
      </c>
      <c r="D90" s="30">
        <v>0.46892</v>
      </c>
      <c r="E90" s="18"/>
      <c r="G90" s="9"/>
      <c r="H90" s="9">
        <v>1120.29</v>
      </c>
      <c r="L90">
        <f t="shared" si="10"/>
        <v>0.46892</v>
      </c>
      <c r="U90">
        <f t="shared" si="8"/>
        <v>590.54231533873678</v>
      </c>
      <c r="X90" s="9"/>
      <c r="Y90" s="11">
        <v>0.98085</v>
      </c>
      <c r="AA90">
        <v>1235.25</v>
      </c>
      <c r="AG90" s="9"/>
      <c r="AH90">
        <v>14.9</v>
      </c>
      <c r="AI90">
        <f t="shared" si="11"/>
        <v>0.14899999999999999</v>
      </c>
    </row>
    <row r="91" spans="1:35" x14ac:dyDescent="0.3">
      <c r="A91" s="15"/>
      <c r="B91" s="1" t="s">
        <v>9</v>
      </c>
      <c r="C91" s="1">
        <v>1460.82</v>
      </c>
      <c r="D91" s="30">
        <v>5.2080000000000001E-2</v>
      </c>
      <c r="E91" s="25"/>
      <c r="G91" s="9" t="s">
        <v>9</v>
      </c>
      <c r="H91" s="9">
        <v>1460.82</v>
      </c>
      <c r="I91" s="32">
        <v>4.2505900899999999E-3</v>
      </c>
      <c r="J91" s="25"/>
      <c r="L91">
        <f t="shared" si="10"/>
        <v>4.6255433060000004E-2</v>
      </c>
      <c r="X91" s="9" t="s">
        <v>9</v>
      </c>
      <c r="Y91" s="9">
        <v>1.74254</v>
      </c>
      <c r="AA91">
        <v>3545</v>
      </c>
      <c r="AG91" s="9" t="s">
        <v>9</v>
      </c>
      <c r="AH91">
        <v>10.66</v>
      </c>
      <c r="AI91">
        <f t="shared" si="11"/>
        <v>0.1066</v>
      </c>
    </row>
    <row r="92" spans="1:35" x14ac:dyDescent="0.3">
      <c r="A92" s="15"/>
      <c r="B92" s="1" t="s">
        <v>10</v>
      </c>
      <c r="C92" s="1">
        <v>238.63</v>
      </c>
      <c r="D92" s="30">
        <v>12.77411</v>
      </c>
      <c r="E92" s="25"/>
      <c r="G92" s="9" t="s">
        <v>10</v>
      </c>
      <c r="H92" s="9">
        <v>238.63</v>
      </c>
      <c r="L92">
        <f t="shared" si="10"/>
        <v>12.76872694973</v>
      </c>
      <c r="X92" s="9" t="s">
        <v>10</v>
      </c>
      <c r="Y92" s="11">
        <v>7.7333699999999999</v>
      </c>
      <c r="AA92">
        <v>812.5</v>
      </c>
      <c r="AG92" s="9" t="s">
        <v>10</v>
      </c>
      <c r="AH92">
        <v>43.6</v>
      </c>
      <c r="AI92">
        <f t="shared" si="11"/>
        <v>0.436</v>
      </c>
    </row>
    <row r="93" spans="1:35" x14ac:dyDescent="0.3">
      <c r="A93" s="15"/>
      <c r="B93" s="1" t="s">
        <v>11</v>
      </c>
      <c r="C93" s="1">
        <v>911.21</v>
      </c>
      <c r="D93" s="30">
        <v>2.3176700000000001</v>
      </c>
      <c r="E93" s="25"/>
      <c r="G93" s="9" t="s">
        <v>11</v>
      </c>
      <c r="H93" s="9">
        <v>911.21</v>
      </c>
      <c r="L93">
        <f t="shared" si="10"/>
        <v>2.3176700000000001</v>
      </c>
      <c r="X93" s="9" t="s">
        <v>11</v>
      </c>
      <c r="Y93" s="11">
        <v>1.39327</v>
      </c>
      <c r="AA93">
        <v>812.5</v>
      </c>
      <c r="AG93" s="9" t="s">
        <v>11</v>
      </c>
      <c r="AH93">
        <v>25.8</v>
      </c>
      <c r="AI93">
        <f t="shared" si="11"/>
        <v>0.25800000000000001</v>
      </c>
    </row>
    <row r="94" spans="1:35" x14ac:dyDescent="0.3">
      <c r="A94" s="15"/>
      <c r="B94" s="1"/>
      <c r="C94" s="1">
        <v>968.97</v>
      </c>
      <c r="D94" s="30">
        <v>1.3556600000000001</v>
      </c>
      <c r="E94" s="18"/>
      <c r="G94" s="9"/>
      <c r="H94" s="9">
        <v>968.97</v>
      </c>
      <c r="L94">
        <f t="shared" si="10"/>
        <v>1.3556600000000001</v>
      </c>
      <c r="X94" s="9"/>
      <c r="Y94" s="11">
        <v>0.80701000000000001</v>
      </c>
      <c r="AA94">
        <v>812.5</v>
      </c>
      <c r="AG94" s="9"/>
      <c r="AH94">
        <v>15.8</v>
      </c>
      <c r="AI94">
        <f t="shared" si="11"/>
        <v>0.158</v>
      </c>
    </row>
    <row r="95" spans="1:35" x14ac:dyDescent="0.3">
      <c r="A95" s="15"/>
      <c r="B95" s="1"/>
      <c r="C95" s="1">
        <v>338.32</v>
      </c>
      <c r="D95" s="30">
        <v>2.3738800000000002</v>
      </c>
      <c r="E95" s="18"/>
      <c r="G95" s="9"/>
      <c r="H95" s="9">
        <v>338.32</v>
      </c>
      <c r="L95">
        <f t="shared" si="10"/>
        <v>2.3738800000000002</v>
      </c>
      <c r="X95" s="9"/>
      <c r="Y95" s="11">
        <v>1.42353</v>
      </c>
      <c r="AA95">
        <v>812.5</v>
      </c>
      <c r="AG95" s="9"/>
      <c r="AH95">
        <v>11.27</v>
      </c>
      <c r="AI95">
        <f t="shared" si="11"/>
        <v>0.11269999999999999</v>
      </c>
    </row>
    <row r="96" spans="1:35" x14ac:dyDescent="0.3">
      <c r="A96" s="15"/>
      <c r="B96" s="1" t="s">
        <v>12</v>
      </c>
      <c r="C96" s="1">
        <v>2614.5300000000002</v>
      </c>
      <c r="D96" s="30">
        <v>1.1590400000000001</v>
      </c>
      <c r="E96" s="18"/>
      <c r="G96" s="9" t="s">
        <v>12</v>
      </c>
      <c r="H96" s="23">
        <v>2614.5300000000002</v>
      </c>
      <c r="L96">
        <f t="shared" si="10"/>
        <v>1.1567922916</v>
      </c>
      <c r="U96">
        <f t="shared" si="8"/>
        <v>1341.9576763303303</v>
      </c>
      <c r="X96" s="9" t="s">
        <v>12</v>
      </c>
      <c r="Y96" s="11">
        <v>0.70038999999999996</v>
      </c>
      <c r="AA96">
        <v>812.5</v>
      </c>
      <c r="AG96" s="9" t="s">
        <v>12</v>
      </c>
      <c r="AH96">
        <v>99.754000000000005</v>
      </c>
      <c r="AI96">
        <f t="shared" si="11"/>
        <v>0.99754000000000009</v>
      </c>
    </row>
    <row r="97" spans="1:35" x14ac:dyDescent="0.3">
      <c r="A97" s="15"/>
      <c r="B97" s="1"/>
      <c r="C97" s="1">
        <v>583.19000000000005</v>
      </c>
      <c r="D97" s="30">
        <v>3.5626099999999998</v>
      </c>
      <c r="E97" s="18"/>
      <c r="G97" s="9"/>
      <c r="H97" s="9">
        <v>583.19000000000005</v>
      </c>
      <c r="L97">
        <f t="shared" si="10"/>
        <v>3.5626099999999998</v>
      </c>
      <c r="U97">
        <f t="shared" si="8"/>
        <v>1341.9224341351926</v>
      </c>
      <c r="X97" s="9"/>
      <c r="Y97" s="9">
        <v>2.15707</v>
      </c>
      <c r="AA97">
        <v>812.5</v>
      </c>
      <c r="AG97" s="9"/>
      <c r="AH97">
        <v>85</v>
      </c>
      <c r="AI97">
        <f t="shared" si="11"/>
        <v>0.85</v>
      </c>
    </row>
    <row r="98" spans="1:35" x14ac:dyDescent="0.3">
      <c r="A98" s="15"/>
      <c r="B98" s="1"/>
      <c r="C98" s="1">
        <v>510.77</v>
      </c>
      <c r="D98" s="30">
        <v>1.11033</v>
      </c>
      <c r="E98" s="18"/>
      <c r="G98" s="9"/>
      <c r="H98" s="23">
        <v>510.77</v>
      </c>
      <c r="L98">
        <f t="shared" si="10"/>
        <v>1.11033</v>
      </c>
      <c r="U98">
        <f t="shared" si="8"/>
        <v>1340.9383964802237</v>
      </c>
      <c r="X98" s="9"/>
      <c r="Y98" s="11">
        <v>0.67276999999999998</v>
      </c>
      <c r="AA98">
        <v>812.5</v>
      </c>
      <c r="AG98" s="9"/>
      <c r="AH98">
        <v>22.6</v>
      </c>
      <c r="AI98">
        <f t="shared" si="11"/>
        <v>0.22600000000000001</v>
      </c>
    </row>
    <row r="99" spans="1:35" x14ac:dyDescent="0.3">
      <c r="A99" s="15"/>
      <c r="B99" s="1"/>
      <c r="C99" s="1">
        <v>860.56</v>
      </c>
      <c r="D99" s="30">
        <v>0.40194000000000002</v>
      </c>
      <c r="E99" s="18"/>
      <c r="G99" s="9"/>
      <c r="H99" s="9">
        <v>860.56</v>
      </c>
      <c r="L99">
        <f t="shared" si="10"/>
        <v>0.40194000000000002</v>
      </c>
      <c r="U99">
        <f t="shared" si="8"/>
        <v>1335.034952170714</v>
      </c>
      <c r="X99" s="9"/>
      <c r="Y99" s="11">
        <v>0.24462</v>
      </c>
      <c r="AA99">
        <v>812.5</v>
      </c>
      <c r="AG99" s="9"/>
      <c r="AH99">
        <v>12.5</v>
      </c>
      <c r="AI99">
        <f t="shared" si="11"/>
        <v>0.125</v>
      </c>
    </row>
    <row r="100" spans="1:35" x14ac:dyDescent="0.3">
      <c r="A100" s="21">
        <v>9</v>
      </c>
      <c r="B100" s="1" t="s">
        <v>7</v>
      </c>
      <c r="C100" s="1">
        <v>351.93</v>
      </c>
      <c r="D100" s="30">
        <v>0.46023999999999998</v>
      </c>
      <c r="E100" s="18"/>
      <c r="F100" t="s">
        <v>39</v>
      </c>
      <c r="G100" s="1" t="s">
        <v>7</v>
      </c>
      <c r="H100" s="1">
        <v>351.93</v>
      </c>
      <c r="I100" s="34">
        <v>2.5140252399999999E-3</v>
      </c>
      <c r="J100" s="20"/>
      <c r="K100">
        <v>9</v>
      </c>
      <c r="L100">
        <f>D100-I30</f>
        <v>0.46023999999999998</v>
      </c>
      <c r="T100">
        <v>9</v>
      </c>
      <c r="U100">
        <f t="shared" si="8"/>
        <v>82.478073026079073</v>
      </c>
      <c r="X100" s="9" t="s">
        <v>7</v>
      </c>
      <c r="Y100" s="11">
        <v>6.8928799999999999</v>
      </c>
      <c r="AA100">
        <v>1235.25</v>
      </c>
      <c r="AG100" s="9" t="s">
        <v>7</v>
      </c>
      <c r="AH100">
        <v>35.72</v>
      </c>
      <c r="AI100">
        <f>AH100/100</f>
        <v>0.35719999999999996</v>
      </c>
    </row>
    <row r="101" spans="1:35" x14ac:dyDescent="0.3">
      <c r="A101" s="15"/>
      <c r="B101" s="1"/>
      <c r="C101" s="1">
        <v>295.22000000000003</v>
      </c>
      <c r="D101" s="29">
        <v>0.27101999999999998</v>
      </c>
      <c r="E101" s="25"/>
      <c r="G101" s="1"/>
      <c r="H101" s="1">
        <v>295.22000000000003</v>
      </c>
      <c r="L101">
        <f t="shared" ref="L101:L113" si="12">D101-I31</f>
        <v>0.27101999999999998</v>
      </c>
      <c r="U101">
        <f t="shared" si="8"/>
        <v>82.047264906992112</v>
      </c>
      <c r="X101" s="9"/>
      <c r="Y101" s="11">
        <v>4.0803000000000003</v>
      </c>
      <c r="AA101">
        <v>1235.25</v>
      </c>
      <c r="AG101" s="9"/>
      <c r="AH101">
        <v>18.47</v>
      </c>
      <c r="AI101">
        <f t="shared" si="11"/>
        <v>0.18469999999999998</v>
      </c>
    </row>
    <row r="102" spans="1:35" x14ac:dyDescent="0.3">
      <c r="A102" s="15"/>
      <c r="B102" s="1" t="s">
        <v>8</v>
      </c>
      <c r="C102" s="1">
        <v>609.32000000000005</v>
      </c>
      <c r="D102" s="30">
        <v>0.31827</v>
      </c>
      <c r="E102" s="25"/>
      <c r="G102" s="1" t="s">
        <v>8</v>
      </c>
      <c r="H102" s="1">
        <v>609.32000000000005</v>
      </c>
      <c r="L102">
        <f t="shared" si="12"/>
        <v>0.31827</v>
      </c>
      <c r="U102">
        <f t="shared" si="8"/>
        <v>80.626528885789881</v>
      </c>
      <c r="X102" s="9" t="s">
        <v>8</v>
      </c>
      <c r="Y102" s="11">
        <v>4.8761000000000001</v>
      </c>
      <c r="AA102">
        <v>1235.25</v>
      </c>
      <c r="AG102" s="9" t="s">
        <v>8</v>
      </c>
      <c r="AH102">
        <v>45.44</v>
      </c>
      <c r="AI102">
        <f t="shared" si="11"/>
        <v>0.45439999999999997</v>
      </c>
    </row>
    <row r="103" spans="1:35" x14ac:dyDescent="0.3">
      <c r="A103" s="15"/>
      <c r="B103" s="1"/>
      <c r="C103" s="1">
        <v>1764.49</v>
      </c>
      <c r="D103" s="30">
        <v>5.2949999999999997E-2</v>
      </c>
      <c r="E103" s="25"/>
      <c r="G103" s="1"/>
      <c r="H103" s="1">
        <v>1764.49</v>
      </c>
      <c r="L103">
        <f t="shared" si="12"/>
        <v>5.2949999999999997E-2</v>
      </c>
      <c r="U103">
        <f t="shared" si="8"/>
        <v>85.875856703954625</v>
      </c>
      <c r="X103" s="9"/>
      <c r="Y103" s="11">
        <v>0.76163999999999998</v>
      </c>
      <c r="AA103">
        <v>1235.25</v>
      </c>
      <c r="AG103" s="9"/>
      <c r="AH103">
        <v>15.29</v>
      </c>
      <c r="AI103">
        <f t="shared" si="11"/>
        <v>0.15289999999999998</v>
      </c>
    </row>
    <row r="104" spans="1:35" x14ac:dyDescent="0.3">
      <c r="A104" s="15"/>
      <c r="B104" s="1"/>
      <c r="C104" s="1">
        <v>1120.29</v>
      </c>
      <c r="D104" s="29">
        <v>6.7070000000000005E-2</v>
      </c>
      <c r="E104" s="25"/>
      <c r="G104" s="1"/>
      <c r="H104" s="1">
        <v>1120.29</v>
      </c>
      <c r="L104">
        <f t="shared" si="12"/>
        <v>6.7070000000000005E-2</v>
      </c>
      <c r="U104">
        <f t="shared" si="8"/>
        <v>84.465736351124036</v>
      </c>
      <c r="X104" s="9"/>
      <c r="Y104" s="11">
        <v>0.98085</v>
      </c>
      <c r="AA104">
        <v>1235.25</v>
      </c>
      <c r="AG104" s="9"/>
      <c r="AH104">
        <v>14.9</v>
      </c>
      <c r="AI104">
        <f t="shared" si="11"/>
        <v>0.14899999999999999</v>
      </c>
    </row>
    <row r="105" spans="1:35" x14ac:dyDescent="0.3">
      <c r="A105" s="15"/>
      <c r="B105" s="1" t="s">
        <v>9</v>
      </c>
      <c r="C105" s="1">
        <v>1460.82</v>
      </c>
      <c r="D105" s="30">
        <v>1.6650000000000002E-2</v>
      </c>
      <c r="E105" s="25"/>
      <c r="G105" s="1" t="s">
        <v>9</v>
      </c>
      <c r="H105" s="1">
        <v>1460.82</v>
      </c>
      <c r="I105" s="32">
        <v>2.2074278400000002E-3</v>
      </c>
      <c r="J105" s="25"/>
      <c r="L105">
        <f t="shared" si="12"/>
        <v>1.1730462750000002E-2</v>
      </c>
      <c r="X105" s="9" t="s">
        <v>9</v>
      </c>
      <c r="Y105" s="9">
        <v>1.74254</v>
      </c>
      <c r="AA105">
        <v>3545</v>
      </c>
      <c r="AG105" s="9" t="s">
        <v>9</v>
      </c>
      <c r="AH105">
        <v>10.66</v>
      </c>
      <c r="AI105">
        <f t="shared" si="11"/>
        <v>0.1066</v>
      </c>
    </row>
    <row r="106" spans="1:35" x14ac:dyDescent="0.3">
      <c r="A106" s="15"/>
      <c r="B106" s="1" t="s">
        <v>10</v>
      </c>
      <c r="C106" s="1">
        <v>238.63</v>
      </c>
      <c r="D106" s="33">
        <v>1.2869999999999999</v>
      </c>
      <c r="E106" s="25"/>
      <c r="G106" s="1" t="s">
        <v>10</v>
      </c>
      <c r="H106" s="1">
        <v>238.63</v>
      </c>
      <c r="I106" s="34">
        <v>4.0623316899999996E-3</v>
      </c>
      <c r="J106" s="20"/>
      <c r="L106">
        <f t="shared" si="12"/>
        <v>1.2869999999999999</v>
      </c>
      <c r="X106" s="9" t="s">
        <v>10</v>
      </c>
      <c r="Y106" s="11">
        <v>7.7333699999999999</v>
      </c>
      <c r="AA106">
        <v>812.5</v>
      </c>
      <c r="AG106" s="9" t="s">
        <v>10</v>
      </c>
      <c r="AH106">
        <v>43.6</v>
      </c>
      <c r="AI106">
        <f t="shared" si="11"/>
        <v>0.436</v>
      </c>
    </row>
    <row r="107" spans="1:35" x14ac:dyDescent="0.3">
      <c r="A107" s="15"/>
      <c r="B107" s="1" t="s">
        <v>11</v>
      </c>
      <c r="C107" s="1">
        <v>911.21</v>
      </c>
      <c r="D107" s="29">
        <v>0.24482999999999999</v>
      </c>
      <c r="E107" s="25"/>
      <c r="G107" s="1" t="s">
        <v>11</v>
      </c>
      <c r="H107" s="1">
        <v>911.21</v>
      </c>
      <c r="L107">
        <f t="shared" si="12"/>
        <v>0.24482999999999999</v>
      </c>
      <c r="X107" s="9" t="s">
        <v>11</v>
      </c>
      <c r="Y107" s="11">
        <v>1.39327</v>
      </c>
      <c r="AA107">
        <v>812.5</v>
      </c>
      <c r="AG107" s="9" t="s">
        <v>11</v>
      </c>
      <c r="AH107">
        <v>25.8</v>
      </c>
      <c r="AI107">
        <f t="shared" si="11"/>
        <v>0.25800000000000001</v>
      </c>
    </row>
    <row r="108" spans="1:35" x14ac:dyDescent="0.3">
      <c r="A108" s="15"/>
      <c r="B108" s="1"/>
      <c r="C108" s="1">
        <v>968.97</v>
      </c>
      <c r="D108" s="30">
        <v>0.14013999999999999</v>
      </c>
      <c r="E108" s="18"/>
      <c r="G108" s="1"/>
      <c r="H108" s="1">
        <v>968.97</v>
      </c>
      <c r="I108" s="18"/>
      <c r="J108" s="18"/>
      <c r="L108">
        <f t="shared" si="12"/>
        <v>0.14013999999999999</v>
      </c>
      <c r="X108" s="9"/>
      <c r="Y108" s="11">
        <v>0.80701000000000001</v>
      </c>
      <c r="AA108">
        <v>812.5</v>
      </c>
      <c r="AG108" s="9"/>
      <c r="AH108">
        <v>15.8</v>
      </c>
      <c r="AI108">
        <f t="shared" si="11"/>
        <v>0.158</v>
      </c>
    </row>
    <row r="109" spans="1:35" x14ac:dyDescent="0.3">
      <c r="A109" s="15"/>
      <c r="B109" s="1"/>
      <c r="C109" s="1">
        <v>338.32</v>
      </c>
      <c r="D109" s="30">
        <v>0.23507</v>
      </c>
      <c r="E109" s="25"/>
      <c r="G109" s="1"/>
      <c r="H109" s="1">
        <v>338.32</v>
      </c>
      <c r="L109">
        <f t="shared" si="12"/>
        <v>0.23507</v>
      </c>
      <c r="X109" s="9"/>
      <c r="Y109" s="11">
        <v>1.42353</v>
      </c>
      <c r="AA109">
        <v>812.5</v>
      </c>
      <c r="AG109" s="9"/>
      <c r="AH109">
        <v>11.27</v>
      </c>
      <c r="AI109">
        <f t="shared" si="11"/>
        <v>0.11269999999999999</v>
      </c>
    </row>
    <row r="110" spans="1:35" x14ac:dyDescent="0.3">
      <c r="A110" s="15"/>
      <c r="B110" s="1" t="s">
        <v>12</v>
      </c>
      <c r="C110" s="1">
        <v>2614.5300000000002</v>
      </c>
      <c r="D110" s="30">
        <v>0.12156</v>
      </c>
      <c r="E110" s="25"/>
      <c r="G110" s="1" t="s">
        <v>12</v>
      </c>
      <c r="H110" s="1">
        <v>2614.5300000000002</v>
      </c>
      <c r="I110" s="32">
        <v>1.7979717300000001E-3</v>
      </c>
      <c r="J110" s="25"/>
      <c r="L110">
        <f t="shared" si="12"/>
        <v>0.11655577562</v>
      </c>
      <c r="U110">
        <f t="shared" si="8"/>
        <v>135.2126210986022</v>
      </c>
      <c r="X110" s="9" t="s">
        <v>12</v>
      </c>
      <c r="Y110" s="11">
        <v>0.70038999999999996</v>
      </c>
      <c r="AA110">
        <v>812.5</v>
      </c>
      <c r="AG110" s="9" t="s">
        <v>12</v>
      </c>
      <c r="AH110">
        <v>99.754000000000005</v>
      </c>
      <c r="AI110">
        <f t="shared" si="11"/>
        <v>0.99754000000000009</v>
      </c>
    </row>
    <row r="111" spans="1:35" x14ac:dyDescent="0.3">
      <c r="A111" s="15"/>
      <c r="B111" s="1"/>
      <c r="C111" s="1">
        <v>583.19000000000005</v>
      </c>
      <c r="D111" s="30">
        <v>0.36101</v>
      </c>
      <c r="E111" s="25"/>
      <c r="G111" s="1"/>
      <c r="H111" s="1">
        <v>583.19000000000005</v>
      </c>
      <c r="L111">
        <f t="shared" si="12"/>
        <v>0.36101</v>
      </c>
      <c r="U111">
        <f t="shared" si="8"/>
        <v>135.98104141265699</v>
      </c>
      <c r="X111" s="9"/>
      <c r="Y111" s="9">
        <v>2.15707</v>
      </c>
      <c r="AA111">
        <v>812.5</v>
      </c>
      <c r="AG111" s="9"/>
      <c r="AH111">
        <v>85</v>
      </c>
      <c r="AI111">
        <f t="shared" si="11"/>
        <v>0.85</v>
      </c>
    </row>
    <row r="112" spans="1:35" x14ac:dyDescent="0.3">
      <c r="A112" s="15"/>
      <c r="B112" s="1"/>
      <c r="C112" s="1">
        <v>510.77</v>
      </c>
      <c r="D112" s="30">
        <v>0.12953000000000001</v>
      </c>
      <c r="E112" s="25"/>
      <c r="G112" s="1"/>
      <c r="H112" s="23">
        <v>510.77</v>
      </c>
      <c r="L112">
        <f t="shared" si="12"/>
        <v>0.12953000000000001</v>
      </c>
      <c r="U112">
        <f t="shared" si="8"/>
        <v>156.43254752738679</v>
      </c>
      <c r="X112" s="9"/>
      <c r="Y112" s="11">
        <v>0.67276999999999998</v>
      </c>
      <c r="AA112">
        <v>812.5</v>
      </c>
      <c r="AG112" s="9"/>
      <c r="AH112">
        <v>22.6</v>
      </c>
      <c r="AI112">
        <f t="shared" si="11"/>
        <v>0.22600000000000001</v>
      </c>
    </row>
    <row r="113" spans="1:35" x14ac:dyDescent="0.3">
      <c r="A113" s="15"/>
      <c r="B113" s="1"/>
      <c r="C113" s="1">
        <v>860.56</v>
      </c>
      <c r="D113" s="30">
        <v>4.2270000000000002E-2</v>
      </c>
      <c r="E113" s="25"/>
      <c r="G113" s="1"/>
      <c r="H113" s="1">
        <v>860.56</v>
      </c>
      <c r="L113">
        <f t="shared" si="12"/>
        <v>4.2270000000000002E-2</v>
      </c>
      <c r="U113">
        <f t="shared" si="8"/>
        <v>140.39888398332107</v>
      </c>
      <c r="X113" s="9"/>
      <c r="Y113" s="11">
        <v>0.24462</v>
      </c>
      <c r="AA113">
        <v>812.5</v>
      </c>
      <c r="AG113" s="9"/>
      <c r="AH113">
        <v>12.5</v>
      </c>
      <c r="AI113">
        <f t="shared" si="11"/>
        <v>0.125</v>
      </c>
    </row>
    <row r="114" spans="1:35" x14ac:dyDescent="0.3">
      <c r="A114" s="15">
        <v>10</v>
      </c>
      <c r="B114" s="1" t="s">
        <v>7</v>
      </c>
      <c r="C114" s="1">
        <v>351.93</v>
      </c>
      <c r="D114" s="30">
        <v>0.14113999999999999</v>
      </c>
      <c r="E114" s="25"/>
      <c r="F114" t="s">
        <v>40</v>
      </c>
      <c r="G114" s="1" t="s">
        <v>7</v>
      </c>
      <c r="H114" s="1">
        <v>351.93</v>
      </c>
      <c r="K114">
        <v>10</v>
      </c>
      <c r="L114">
        <f>D114-I30</f>
        <v>0.14113999999999999</v>
      </c>
      <c r="T114">
        <v>10</v>
      </c>
      <c r="U114">
        <f t="shared" si="8"/>
        <v>25.29322793955502</v>
      </c>
      <c r="X114" s="9" t="s">
        <v>7</v>
      </c>
      <c r="Y114" s="11">
        <v>6.8928799999999999</v>
      </c>
      <c r="Z114">
        <v>10</v>
      </c>
      <c r="AA114">
        <v>1235.25</v>
      </c>
      <c r="AG114" s="9" t="s">
        <v>7</v>
      </c>
      <c r="AH114">
        <v>35.72</v>
      </c>
      <c r="AI114">
        <f>AH114/100</f>
        <v>0.35719999999999996</v>
      </c>
    </row>
    <row r="115" spans="1:35" x14ac:dyDescent="0.3">
      <c r="A115" s="15"/>
      <c r="B115" s="1"/>
      <c r="C115" s="1">
        <v>295.22000000000003</v>
      </c>
      <c r="D115" s="30">
        <v>8.3470000000000003E-2</v>
      </c>
      <c r="E115" s="25"/>
      <c r="G115" s="1"/>
      <c r="H115" s="23">
        <v>295.22000000000003</v>
      </c>
      <c r="L115">
        <f t="shared" ref="L115:L127" si="13">D115-I31</f>
        <v>8.3470000000000003E-2</v>
      </c>
      <c r="U115">
        <f t="shared" si="8"/>
        <v>25.269298213366664</v>
      </c>
      <c r="X115" s="9"/>
      <c r="Y115" s="11">
        <v>4.0803000000000003</v>
      </c>
      <c r="AA115">
        <v>1235.25</v>
      </c>
      <c r="AG115" s="9"/>
      <c r="AH115">
        <v>18.47</v>
      </c>
      <c r="AI115">
        <f t="shared" ref="AI115:AI141" si="14">AH115/100</f>
        <v>0.18469999999999998</v>
      </c>
    </row>
    <row r="116" spans="1:35" x14ac:dyDescent="0.3">
      <c r="A116" s="15"/>
      <c r="B116" s="1" t="s">
        <v>8</v>
      </c>
      <c r="C116" s="1">
        <v>609.32000000000005</v>
      </c>
      <c r="D116" s="30">
        <v>9.8519999999999996E-2</v>
      </c>
      <c r="E116" s="25"/>
      <c r="G116" s="1" t="s">
        <v>8</v>
      </c>
      <c r="H116" s="1">
        <v>609.32000000000005</v>
      </c>
      <c r="L116">
        <f t="shared" si="13"/>
        <v>9.8519999999999996E-2</v>
      </c>
      <c r="U116">
        <f t="shared" si="8"/>
        <v>24.957820799409365</v>
      </c>
      <c r="X116" s="9" t="s">
        <v>8</v>
      </c>
      <c r="Y116" s="11">
        <v>4.8761000000000001</v>
      </c>
      <c r="AA116">
        <v>1235.25</v>
      </c>
      <c r="AG116" s="9" t="s">
        <v>8</v>
      </c>
      <c r="AH116">
        <v>45.44</v>
      </c>
      <c r="AI116">
        <f t="shared" si="14"/>
        <v>0.45439999999999997</v>
      </c>
    </row>
    <row r="117" spans="1:35" x14ac:dyDescent="0.3">
      <c r="A117" s="15"/>
      <c r="B117" s="1"/>
      <c r="C117" s="1">
        <v>1764.49</v>
      </c>
      <c r="D117" s="30">
        <v>1.5939999999999999E-2</v>
      </c>
      <c r="E117" s="25"/>
      <c r="G117" s="1"/>
      <c r="H117" s="1">
        <v>1764.49</v>
      </c>
      <c r="L117">
        <f t="shared" si="13"/>
        <v>1.5939999999999999E-2</v>
      </c>
      <c r="U117">
        <f t="shared" si="8"/>
        <v>25.851957617772172</v>
      </c>
      <c r="X117" s="9"/>
      <c r="Y117" s="11">
        <v>0.76163999999999998</v>
      </c>
      <c r="AA117">
        <v>1235.25</v>
      </c>
      <c r="AG117" s="9"/>
      <c r="AH117">
        <v>15.29</v>
      </c>
      <c r="AI117">
        <f t="shared" si="14"/>
        <v>0.15289999999999998</v>
      </c>
    </row>
    <row r="118" spans="1:35" x14ac:dyDescent="0.3">
      <c r="A118" s="15"/>
      <c r="B118" s="1"/>
      <c r="C118" s="1">
        <v>1120.29</v>
      </c>
      <c r="D118" s="30">
        <v>1.9060000000000001E-2</v>
      </c>
      <c r="E118" s="25"/>
      <c r="G118" s="1"/>
      <c r="H118" s="1">
        <v>1120.29</v>
      </c>
      <c r="L118">
        <f t="shared" si="13"/>
        <v>1.9060000000000001E-2</v>
      </c>
      <c r="U118">
        <f t="shared" si="8"/>
        <v>24.003532650252332</v>
      </c>
      <c r="X118" s="9"/>
      <c r="Y118" s="11">
        <v>0.98085</v>
      </c>
      <c r="AA118">
        <v>1235.25</v>
      </c>
      <c r="AG118" s="9"/>
      <c r="AH118">
        <v>14.9</v>
      </c>
      <c r="AI118">
        <f t="shared" si="14"/>
        <v>0.14899999999999999</v>
      </c>
    </row>
    <row r="119" spans="1:35" x14ac:dyDescent="0.3">
      <c r="A119" s="15"/>
      <c r="B119" s="1" t="s">
        <v>9</v>
      </c>
      <c r="C119" s="1">
        <v>1460.82</v>
      </c>
      <c r="D119" s="30">
        <v>1.009E-2</v>
      </c>
      <c r="E119" s="25"/>
      <c r="G119" s="1" t="s">
        <v>9</v>
      </c>
      <c r="H119" s="1">
        <v>1460.82</v>
      </c>
      <c r="I119" s="32">
        <v>3.9604503500000002E-3</v>
      </c>
      <c r="J119" s="25"/>
      <c r="L119">
        <f t="shared" si="13"/>
        <v>5.1704627500000003E-3</v>
      </c>
      <c r="X119" s="9" t="s">
        <v>9</v>
      </c>
      <c r="Y119" s="9">
        <v>1.74254</v>
      </c>
      <c r="AA119">
        <v>3545</v>
      </c>
      <c r="AG119" s="9" t="s">
        <v>9</v>
      </c>
      <c r="AH119">
        <v>10.66</v>
      </c>
      <c r="AI119">
        <f t="shared" si="14"/>
        <v>0.1066</v>
      </c>
    </row>
    <row r="120" spans="1:35" x14ac:dyDescent="0.3">
      <c r="A120" s="15"/>
      <c r="B120" s="1" t="s">
        <v>10</v>
      </c>
      <c r="C120" s="1">
        <v>238.63</v>
      </c>
      <c r="D120" s="30">
        <v>0.37373000000000001</v>
      </c>
      <c r="E120" s="25"/>
      <c r="G120" s="1" t="s">
        <v>10</v>
      </c>
      <c r="H120" s="1">
        <v>238.63</v>
      </c>
      <c r="I120" s="34">
        <v>3.2776332600000001E-3</v>
      </c>
      <c r="J120" s="20"/>
      <c r="L120">
        <f t="shared" si="13"/>
        <v>0.37373000000000001</v>
      </c>
      <c r="X120" s="9" t="s">
        <v>10</v>
      </c>
      <c r="Y120" s="11">
        <v>7.7333699999999999</v>
      </c>
      <c r="AA120">
        <v>812.5</v>
      </c>
      <c r="AG120" s="9" t="s">
        <v>10</v>
      </c>
      <c r="AH120">
        <v>43.6</v>
      </c>
      <c r="AI120">
        <f t="shared" si="14"/>
        <v>0.436</v>
      </c>
    </row>
    <row r="121" spans="1:35" x14ac:dyDescent="0.3">
      <c r="A121" s="15"/>
      <c r="B121" s="1" t="s">
        <v>11</v>
      </c>
      <c r="C121" s="1">
        <v>911.21</v>
      </c>
      <c r="D121" s="30">
        <v>6.7080000000000001E-2</v>
      </c>
      <c r="E121" s="25"/>
      <c r="G121" s="1" t="s">
        <v>11</v>
      </c>
      <c r="H121" s="1">
        <v>911.21</v>
      </c>
      <c r="L121">
        <f t="shared" si="13"/>
        <v>6.7080000000000001E-2</v>
      </c>
      <c r="X121" s="9" t="s">
        <v>11</v>
      </c>
      <c r="Y121" s="11">
        <v>1.39327</v>
      </c>
      <c r="AA121">
        <v>812.5</v>
      </c>
      <c r="AG121" s="9" t="s">
        <v>11</v>
      </c>
      <c r="AH121">
        <v>25.8</v>
      </c>
      <c r="AI121">
        <f t="shared" si="14"/>
        <v>0.25800000000000001</v>
      </c>
    </row>
    <row r="122" spans="1:35" x14ac:dyDescent="0.3">
      <c r="A122" s="15"/>
      <c r="B122" s="1"/>
      <c r="C122" s="1">
        <v>968.97</v>
      </c>
      <c r="D122" s="30">
        <v>3.934E-2</v>
      </c>
      <c r="E122" s="25"/>
      <c r="G122" s="1"/>
      <c r="H122" s="1">
        <v>968.97</v>
      </c>
      <c r="L122">
        <f t="shared" si="13"/>
        <v>3.934E-2</v>
      </c>
      <c r="X122" s="9"/>
      <c r="Y122" s="11">
        <v>0.80701000000000001</v>
      </c>
      <c r="AA122">
        <v>812.5</v>
      </c>
      <c r="AG122" s="9"/>
      <c r="AH122">
        <v>15.8</v>
      </c>
      <c r="AI122">
        <f t="shared" si="14"/>
        <v>0.158</v>
      </c>
    </row>
    <row r="123" spans="1:35" x14ac:dyDescent="0.3">
      <c r="A123" s="15"/>
      <c r="B123" s="1"/>
      <c r="C123" s="1">
        <v>338.32</v>
      </c>
      <c r="D123" s="30">
        <v>7.1940000000000004E-2</v>
      </c>
      <c r="E123" s="25"/>
      <c r="G123" s="1"/>
      <c r="H123" s="1">
        <v>338.32</v>
      </c>
      <c r="L123">
        <f t="shared" si="13"/>
        <v>7.1940000000000004E-2</v>
      </c>
      <c r="X123" s="9"/>
      <c r="Y123" s="11">
        <v>1.42353</v>
      </c>
      <c r="AA123">
        <v>812.5</v>
      </c>
      <c r="AG123" s="9"/>
      <c r="AH123">
        <v>11.27</v>
      </c>
      <c r="AI123">
        <f t="shared" si="14"/>
        <v>0.11269999999999999</v>
      </c>
    </row>
    <row r="124" spans="1:35" x14ac:dyDescent="0.3">
      <c r="A124" s="15"/>
      <c r="B124" s="1" t="s">
        <v>12</v>
      </c>
      <c r="C124" s="1">
        <v>2614.5300000000002</v>
      </c>
      <c r="D124" s="30">
        <v>3.875E-2</v>
      </c>
      <c r="E124" s="25"/>
      <c r="G124" s="1" t="s">
        <v>12</v>
      </c>
      <c r="H124" s="1">
        <v>2614.5300000000002</v>
      </c>
      <c r="I124" s="32">
        <v>4.1476006199999997E-3</v>
      </c>
      <c r="J124" s="25"/>
      <c r="L124">
        <f t="shared" si="13"/>
        <v>3.3745775620000001E-2</v>
      </c>
      <c r="U124">
        <f t="shared" si="8"/>
        <v>39.147393154171255</v>
      </c>
      <c r="X124" s="9" t="s">
        <v>12</v>
      </c>
      <c r="Y124" s="11">
        <v>0.70038999999999996</v>
      </c>
      <c r="AA124">
        <v>812.5</v>
      </c>
      <c r="AG124" s="9" t="s">
        <v>12</v>
      </c>
      <c r="AH124">
        <v>99.754000000000005</v>
      </c>
      <c r="AI124">
        <f t="shared" si="14"/>
        <v>0.99754000000000009</v>
      </c>
    </row>
    <row r="125" spans="1:35" x14ac:dyDescent="0.3">
      <c r="A125" s="15"/>
      <c r="B125" s="1"/>
      <c r="C125" s="1">
        <v>583.19000000000005</v>
      </c>
      <c r="D125" s="30">
        <v>0.10879</v>
      </c>
      <c r="E125" s="25"/>
      <c r="G125" s="1"/>
      <c r="H125" s="1">
        <v>583.19000000000005</v>
      </c>
      <c r="L125">
        <f t="shared" si="13"/>
        <v>0.10879</v>
      </c>
      <c r="U125">
        <f t="shared" si="8"/>
        <v>40.977749910758575</v>
      </c>
      <c r="X125" s="9"/>
      <c r="Y125" s="9">
        <v>2.15707</v>
      </c>
      <c r="AA125">
        <v>812.5</v>
      </c>
      <c r="AG125" s="9"/>
      <c r="AH125">
        <v>85</v>
      </c>
      <c r="AI125">
        <f t="shared" si="14"/>
        <v>0.85</v>
      </c>
    </row>
    <row r="126" spans="1:35" x14ac:dyDescent="0.3">
      <c r="A126" s="15"/>
      <c r="B126" s="1"/>
      <c r="C126" s="1">
        <v>510.77</v>
      </c>
      <c r="D126" s="30">
        <v>4.8669999999999998E-2</v>
      </c>
      <c r="E126" s="25"/>
      <c r="G126" s="1"/>
      <c r="H126" s="1">
        <v>510.77</v>
      </c>
      <c r="I126" s="18"/>
      <c r="J126" s="18"/>
      <c r="L126">
        <f t="shared" si="13"/>
        <v>4.8669999999999998E-2</v>
      </c>
      <c r="U126">
        <f t="shared" si="8"/>
        <v>58.778445828440624</v>
      </c>
      <c r="X126" s="9"/>
      <c r="Y126" s="11">
        <v>0.67276999999999998</v>
      </c>
      <c r="AA126">
        <v>812.5</v>
      </c>
      <c r="AG126" s="9"/>
      <c r="AH126">
        <v>22.6</v>
      </c>
      <c r="AI126">
        <f t="shared" si="14"/>
        <v>0.22600000000000001</v>
      </c>
    </row>
    <row r="127" spans="1:35" x14ac:dyDescent="0.3">
      <c r="A127" s="15"/>
      <c r="B127" s="1"/>
      <c r="C127" s="1">
        <v>860.56</v>
      </c>
      <c r="D127" s="30">
        <v>1.1639999999999999E-2</v>
      </c>
      <c r="E127" s="25"/>
      <c r="G127" s="1"/>
      <c r="H127" s="1">
        <v>860.56</v>
      </c>
      <c r="L127">
        <f t="shared" si="13"/>
        <v>1.1639999999999999E-2</v>
      </c>
      <c r="U127">
        <f t="shared" si="8"/>
        <v>38.662006377238164</v>
      </c>
      <c r="X127" s="9"/>
      <c r="Y127" s="11">
        <v>0.24462</v>
      </c>
      <c r="AA127">
        <v>812.5</v>
      </c>
      <c r="AG127" s="9"/>
      <c r="AH127">
        <v>12.5</v>
      </c>
      <c r="AI127">
        <f t="shared" si="14"/>
        <v>0.125</v>
      </c>
    </row>
    <row r="128" spans="1:35" x14ac:dyDescent="0.3">
      <c r="A128" s="15">
        <v>12</v>
      </c>
      <c r="B128" s="1" t="s">
        <v>7</v>
      </c>
      <c r="C128" s="1">
        <v>351.93</v>
      </c>
      <c r="D128" s="30">
        <v>9.1910000000000006E-2</v>
      </c>
      <c r="E128" s="25"/>
      <c r="F128" t="s">
        <v>188</v>
      </c>
      <c r="G128" s="1" t="s">
        <v>7</v>
      </c>
      <c r="H128" s="1">
        <v>351.93</v>
      </c>
      <c r="I128" s="25"/>
      <c r="J128" s="25"/>
      <c r="K128">
        <v>12</v>
      </c>
      <c r="L128">
        <f>D128-I30</f>
        <v>9.1910000000000006E-2</v>
      </c>
      <c r="T128">
        <v>12</v>
      </c>
      <c r="U128">
        <f t="shared" si="8"/>
        <v>16.470884086187485</v>
      </c>
      <c r="X128" s="9" t="s">
        <v>7</v>
      </c>
      <c r="Y128" s="11">
        <v>6.8928799999999999</v>
      </c>
      <c r="AA128">
        <v>1235.25</v>
      </c>
      <c r="AG128" s="9" t="s">
        <v>7</v>
      </c>
      <c r="AH128">
        <v>35.72</v>
      </c>
      <c r="AI128">
        <f>AH128/100</f>
        <v>0.35719999999999996</v>
      </c>
    </row>
    <row r="129" spans="1:35" x14ac:dyDescent="0.3">
      <c r="A129" s="15"/>
      <c r="B129" s="1"/>
      <c r="C129" s="1">
        <v>295.22000000000003</v>
      </c>
      <c r="D129" s="30">
        <v>5.3449999999999998E-2</v>
      </c>
      <c r="E129" s="25"/>
      <c r="G129" s="1"/>
      <c r="H129" s="1">
        <v>295.22000000000003</v>
      </c>
      <c r="I129" s="20"/>
      <c r="J129" s="20"/>
      <c r="L129">
        <f t="shared" ref="L129:L140" si="15">D129-I31</f>
        <v>5.3449999999999998E-2</v>
      </c>
      <c r="U129">
        <f t="shared" si="8"/>
        <v>16.181190721270493</v>
      </c>
      <c r="X129" s="9"/>
      <c r="Y129" s="11">
        <v>4.0803000000000003</v>
      </c>
      <c r="AA129">
        <v>1235.25</v>
      </c>
      <c r="AG129" s="9"/>
      <c r="AH129">
        <v>18.47</v>
      </c>
      <c r="AI129">
        <f t="shared" si="14"/>
        <v>0.18469999999999998</v>
      </c>
    </row>
    <row r="130" spans="1:35" x14ac:dyDescent="0.3">
      <c r="A130" s="15"/>
      <c r="B130" s="1" t="s">
        <v>8</v>
      </c>
      <c r="C130" s="1">
        <v>609.32000000000005</v>
      </c>
      <c r="D130" s="30">
        <v>6.59E-2</v>
      </c>
      <c r="E130" s="25"/>
      <c r="G130" s="1" t="s">
        <v>8</v>
      </c>
      <c r="H130" s="1">
        <v>609.32000000000005</v>
      </c>
      <c r="L130">
        <f t="shared" si="15"/>
        <v>6.59E-2</v>
      </c>
      <c r="U130">
        <f t="shared" si="8"/>
        <v>16.694279239556202</v>
      </c>
      <c r="X130" s="9" t="s">
        <v>8</v>
      </c>
      <c r="Y130" s="11">
        <v>4.8761000000000001</v>
      </c>
      <c r="AA130">
        <v>1235.25</v>
      </c>
      <c r="AG130" s="9" t="s">
        <v>8</v>
      </c>
      <c r="AH130">
        <v>45.44</v>
      </c>
      <c r="AI130">
        <f t="shared" si="14"/>
        <v>0.45439999999999997</v>
      </c>
    </row>
    <row r="131" spans="1:35" x14ac:dyDescent="0.3">
      <c r="A131" s="15"/>
      <c r="B131" s="1"/>
      <c r="C131" s="1">
        <v>1764.49</v>
      </c>
      <c r="D131" s="30">
        <v>1.052E-2</v>
      </c>
      <c r="E131" s="25"/>
      <c r="G131" s="1"/>
      <c r="H131" s="1">
        <v>1764.49</v>
      </c>
      <c r="L131">
        <f t="shared" si="15"/>
        <v>1.052E-2</v>
      </c>
      <c r="U131">
        <f t="shared" ref="U131:U194" si="16">(L131/Y131)*AA131</f>
        <v>17.061643296045375</v>
      </c>
      <c r="X131" s="9"/>
      <c r="Y131" s="11">
        <v>0.76163999999999998</v>
      </c>
      <c r="AA131">
        <v>1235.25</v>
      </c>
      <c r="AG131" s="9"/>
      <c r="AH131">
        <v>15.29</v>
      </c>
      <c r="AI131">
        <f t="shared" si="14"/>
        <v>0.15289999999999998</v>
      </c>
    </row>
    <row r="132" spans="1:35" x14ac:dyDescent="0.3">
      <c r="A132" s="15"/>
      <c r="B132" s="1"/>
      <c r="C132" s="1">
        <v>1120.29</v>
      </c>
      <c r="D132" s="30">
        <v>1.345E-2</v>
      </c>
      <c r="E132" s="25"/>
      <c r="G132" s="1"/>
      <c r="H132" s="1">
        <v>1120.29</v>
      </c>
      <c r="L132">
        <f t="shared" si="15"/>
        <v>1.345E-2</v>
      </c>
      <c r="U132">
        <f t="shared" si="16"/>
        <v>16.93848447774889</v>
      </c>
      <c r="X132" s="9"/>
      <c r="Y132" s="11">
        <v>0.98085</v>
      </c>
      <c r="AA132">
        <v>1235.25</v>
      </c>
      <c r="AG132" s="9"/>
      <c r="AH132">
        <v>14.9</v>
      </c>
      <c r="AI132">
        <f t="shared" si="14"/>
        <v>0.14899999999999999</v>
      </c>
    </row>
    <row r="133" spans="1:35" x14ac:dyDescent="0.3">
      <c r="A133" s="15"/>
      <c r="B133" s="1" t="s">
        <v>9</v>
      </c>
      <c r="C133" s="1">
        <v>1460.82</v>
      </c>
      <c r="D133" s="30">
        <v>1.2840000000000001E-2</v>
      </c>
      <c r="E133" s="25"/>
      <c r="G133" s="1" t="s">
        <v>9</v>
      </c>
      <c r="H133" s="1">
        <v>1460.82</v>
      </c>
      <c r="I133" s="32">
        <v>2.3045801599999999E-3</v>
      </c>
      <c r="J133" s="25"/>
      <c r="L133">
        <f t="shared" si="15"/>
        <v>7.920462750000001E-3</v>
      </c>
      <c r="X133" s="9" t="s">
        <v>9</v>
      </c>
      <c r="Y133" s="9">
        <v>1.74254</v>
      </c>
      <c r="AA133">
        <v>3545</v>
      </c>
      <c r="AG133" s="9" t="s">
        <v>9</v>
      </c>
      <c r="AH133">
        <v>10.66</v>
      </c>
      <c r="AI133">
        <f t="shared" si="14"/>
        <v>0.1066</v>
      </c>
    </row>
    <row r="134" spans="1:35" x14ac:dyDescent="0.3">
      <c r="A134" s="15"/>
      <c r="B134" s="1" t="s">
        <v>10</v>
      </c>
      <c r="C134" s="1">
        <v>238.63</v>
      </c>
      <c r="D134" s="30">
        <v>0.23974999999999999</v>
      </c>
      <c r="E134" s="25"/>
      <c r="G134" s="1" t="s">
        <v>10</v>
      </c>
      <c r="H134" s="1">
        <v>238.63</v>
      </c>
      <c r="I134" s="32">
        <v>3.9974056399999999E-3</v>
      </c>
      <c r="J134" s="25"/>
      <c r="L134">
        <f t="shared" si="15"/>
        <v>0.23974999999999999</v>
      </c>
      <c r="X134" s="9" t="s">
        <v>10</v>
      </c>
      <c r="Y134" s="11">
        <v>7.7333699999999999</v>
      </c>
      <c r="AA134">
        <v>812.5</v>
      </c>
      <c r="AG134" s="9" t="s">
        <v>10</v>
      </c>
      <c r="AH134">
        <v>43.6</v>
      </c>
      <c r="AI134">
        <f t="shared" si="14"/>
        <v>0.436</v>
      </c>
    </row>
    <row r="135" spans="1:35" x14ac:dyDescent="0.3">
      <c r="A135" s="15"/>
      <c r="B135" s="1" t="s">
        <v>11</v>
      </c>
      <c r="C135" s="1">
        <v>911.21</v>
      </c>
      <c r="D135" s="30">
        <v>4.8189999999999997E-2</v>
      </c>
      <c r="E135" s="25"/>
      <c r="G135" s="1" t="s">
        <v>11</v>
      </c>
      <c r="H135" s="1">
        <v>911.21</v>
      </c>
      <c r="L135">
        <f t="shared" si="15"/>
        <v>4.8189999999999997E-2</v>
      </c>
      <c r="X135" s="9" t="s">
        <v>11</v>
      </c>
      <c r="Y135" s="11">
        <v>1.39327</v>
      </c>
      <c r="AA135">
        <v>812.5</v>
      </c>
      <c r="AG135" s="9" t="s">
        <v>11</v>
      </c>
      <c r="AH135">
        <v>25.8</v>
      </c>
      <c r="AI135">
        <f t="shared" si="14"/>
        <v>0.25800000000000001</v>
      </c>
    </row>
    <row r="136" spans="1:35" x14ac:dyDescent="0.3">
      <c r="A136" s="15"/>
      <c r="B136" s="1"/>
      <c r="C136" s="1">
        <v>968.97</v>
      </c>
      <c r="D136" s="30">
        <v>1.9449999999999999E-2</v>
      </c>
      <c r="E136" s="25"/>
      <c r="G136" s="1"/>
      <c r="H136" s="1">
        <v>968.97</v>
      </c>
      <c r="L136">
        <f t="shared" si="15"/>
        <v>1.9449999999999999E-2</v>
      </c>
      <c r="X136" s="9"/>
      <c r="Y136" s="11">
        <v>0.80701000000000001</v>
      </c>
      <c r="AA136">
        <v>812.5</v>
      </c>
      <c r="AG136" s="9"/>
      <c r="AH136">
        <v>15.8</v>
      </c>
      <c r="AI136">
        <f t="shared" si="14"/>
        <v>0.158</v>
      </c>
    </row>
    <row r="137" spans="1:35" x14ac:dyDescent="0.3">
      <c r="A137" s="15"/>
      <c r="B137" s="1"/>
      <c r="C137" s="1">
        <v>338.32</v>
      </c>
      <c r="D137" s="30">
        <v>4.4159999999999998E-2</v>
      </c>
      <c r="E137" s="25"/>
      <c r="G137" s="1"/>
      <c r="H137" s="1">
        <v>338.32</v>
      </c>
      <c r="L137">
        <f t="shared" si="15"/>
        <v>4.4159999999999998E-2</v>
      </c>
      <c r="X137" s="9"/>
      <c r="Y137" s="11">
        <v>1.42353</v>
      </c>
      <c r="AA137">
        <v>812.5</v>
      </c>
      <c r="AG137" s="9"/>
      <c r="AH137">
        <v>11.27</v>
      </c>
      <c r="AI137">
        <f t="shared" si="14"/>
        <v>0.11269999999999999</v>
      </c>
    </row>
    <row r="138" spans="1:35" x14ac:dyDescent="0.3">
      <c r="A138" s="15"/>
      <c r="B138" s="1" t="s">
        <v>12</v>
      </c>
      <c r="C138" s="1">
        <v>2614.5300000000002</v>
      </c>
      <c r="D138" s="30">
        <v>2.5909999999999999E-2</v>
      </c>
      <c r="E138" s="25"/>
      <c r="G138" s="1" t="s">
        <v>12</v>
      </c>
      <c r="H138" s="1">
        <v>2614.5300000000002</v>
      </c>
      <c r="I138" s="32">
        <v>2.8326085499999999E-3</v>
      </c>
      <c r="J138" s="25"/>
      <c r="L138">
        <f t="shared" si="15"/>
        <v>2.0905775619999997E-2</v>
      </c>
      <c r="U138">
        <f t="shared" si="16"/>
        <v>24.252120520352943</v>
      </c>
      <c r="X138" s="9" t="s">
        <v>12</v>
      </c>
      <c r="Y138" s="11">
        <v>0.70038999999999996</v>
      </c>
      <c r="AA138">
        <v>812.5</v>
      </c>
      <c r="AG138" s="9" t="s">
        <v>12</v>
      </c>
      <c r="AH138">
        <v>99.754000000000005</v>
      </c>
      <c r="AI138">
        <f t="shared" si="14"/>
        <v>0.99754000000000009</v>
      </c>
    </row>
    <row r="139" spans="1:35" x14ac:dyDescent="0.3">
      <c r="A139" s="15"/>
      <c r="B139" s="1"/>
      <c r="C139" s="1">
        <v>583.19000000000005</v>
      </c>
      <c r="D139" s="30">
        <v>6.8940000000000001E-2</v>
      </c>
      <c r="E139" s="25"/>
      <c r="G139" s="1"/>
      <c r="H139" s="1">
        <v>583.19000000000005</v>
      </c>
      <c r="L139">
        <f t="shared" si="15"/>
        <v>6.8940000000000001E-2</v>
      </c>
      <c r="U139">
        <f t="shared" si="16"/>
        <v>25.967516121405424</v>
      </c>
      <c r="X139" s="9"/>
      <c r="Y139" s="9">
        <v>2.15707</v>
      </c>
      <c r="AA139">
        <v>812.5</v>
      </c>
      <c r="AG139" s="9"/>
      <c r="AH139">
        <v>85</v>
      </c>
      <c r="AI139">
        <f t="shared" si="14"/>
        <v>0.85</v>
      </c>
    </row>
    <row r="140" spans="1:35" x14ac:dyDescent="0.3">
      <c r="A140" s="15"/>
      <c r="B140" s="1"/>
      <c r="C140" s="1">
        <v>510.77</v>
      </c>
      <c r="D140" s="30">
        <v>3.7909999999999999E-2</v>
      </c>
      <c r="E140" s="25"/>
      <c r="G140" s="1"/>
      <c r="H140" s="1">
        <v>510.77</v>
      </c>
      <c r="I140" s="29">
        <v>1.8599999999999998E-2</v>
      </c>
      <c r="J140" s="18"/>
      <c r="L140">
        <f t="shared" si="15"/>
        <v>3.7909999999999999E-2</v>
      </c>
      <c r="U140">
        <f t="shared" si="16"/>
        <v>45.783663064643193</v>
      </c>
      <c r="X140" s="9"/>
      <c r="Y140" s="11">
        <v>0.67276999999999998</v>
      </c>
      <c r="AA140">
        <v>812.5</v>
      </c>
      <c r="AG140" s="9"/>
      <c r="AH140">
        <v>22.6</v>
      </c>
      <c r="AI140">
        <f t="shared" si="14"/>
        <v>0.22600000000000001</v>
      </c>
    </row>
    <row r="141" spans="1:35" x14ac:dyDescent="0.3">
      <c r="A141" s="15"/>
      <c r="B141" s="1"/>
      <c r="C141" s="1">
        <v>860.56</v>
      </c>
      <c r="D141" s="31">
        <v>7.19762695E-3</v>
      </c>
      <c r="E141" s="25"/>
      <c r="G141" s="1"/>
      <c r="H141" s="1">
        <v>860.56</v>
      </c>
      <c r="L141">
        <f>D141-I43</f>
        <v>7.19762695E-3</v>
      </c>
      <c r="U141">
        <f t="shared" si="16"/>
        <v>23.906761086072276</v>
      </c>
      <c r="X141" s="9"/>
      <c r="Y141" s="11">
        <v>0.24462</v>
      </c>
      <c r="AA141">
        <v>812.5</v>
      </c>
      <c r="AG141" s="9"/>
      <c r="AH141">
        <v>12.5</v>
      </c>
      <c r="AI141">
        <f t="shared" si="14"/>
        <v>0.125</v>
      </c>
    </row>
    <row r="142" spans="1:35" x14ac:dyDescent="0.3">
      <c r="A142" s="15">
        <v>13</v>
      </c>
      <c r="B142" s="1" t="s">
        <v>7</v>
      </c>
      <c r="C142" s="1">
        <v>351.93</v>
      </c>
      <c r="D142" s="30">
        <v>0.21238000000000001</v>
      </c>
      <c r="E142" s="25"/>
      <c r="F142" t="s">
        <v>195</v>
      </c>
      <c r="G142" s="1" t="s">
        <v>7</v>
      </c>
      <c r="H142" s="1">
        <v>351.93</v>
      </c>
      <c r="K142">
        <v>13</v>
      </c>
      <c r="L142" s="26">
        <f>D142-I44</f>
        <v>0.21238000000000001</v>
      </c>
      <c r="T142">
        <v>13</v>
      </c>
      <c r="U142">
        <f t="shared" si="16"/>
        <v>38.059910371281674</v>
      </c>
      <c r="X142" s="9" t="s">
        <v>7</v>
      </c>
      <c r="Y142" s="11">
        <v>6.8928799999999999</v>
      </c>
      <c r="AA142">
        <v>1235.25</v>
      </c>
      <c r="AG142" s="9" t="s">
        <v>7</v>
      </c>
      <c r="AH142">
        <v>35.72</v>
      </c>
      <c r="AI142">
        <f>AH142/100</f>
        <v>0.35719999999999996</v>
      </c>
    </row>
    <row r="143" spans="1:35" x14ac:dyDescent="0.3">
      <c r="A143" s="15"/>
      <c r="B143" s="1"/>
      <c r="C143" s="1">
        <v>295.22000000000003</v>
      </c>
      <c r="D143" s="30">
        <v>0.12179</v>
      </c>
      <c r="E143" s="25"/>
      <c r="G143" s="1"/>
      <c r="H143" s="1">
        <v>295.22000000000003</v>
      </c>
      <c r="L143" s="26">
        <f t="shared" ref="L143:L155" si="17">D143-I45</f>
        <v>0.12179</v>
      </c>
      <c r="U143">
        <f t="shared" si="16"/>
        <v>36.870106977428129</v>
      </c>
      <c r="X143" s="9"/>
      <c r="Y143" s="11">
        <v>4.0803000000000003</v>
      </c>
      <c r="AA143">
        <v>1235.25</v>
      </c>
      <c r="AG143" s="9"/>
      <c r="AH143">
        <v>18.47</v>
      </c>
      <c r="AI143">
        <f t="shared" ref="AI143:AI169" si="18">AH143/100</f>
        <v>0.18469999999999998</v>
      </c>
    </row>
    <row r="144" spans="1:35" x14ac:dyDescent="0.3">
      <c r="A144" s="15"/>
      <c r="B144" s="1" t="s">
        <v>8</v>
      </c>
      <c r="C144" s="1">
        <v>609.32000000000005</v>
      </c>
      <c r="D144" s="30">
        <v>0.14463000000000001</v>
      </c>
      <c r="E144" s="25"/>
      <c r="G144" s="1" t="s">
        <v>8</v>
      </c>
      <c r="H144" s="1">
        <v>609.32000000000005</v>
      </c>
      <c r="L144" s="26">
        <f t="shared" si="17"/>
        <v>0.14463000000000001</v>
      </c>
      <c r="U144">
        <f t="shared" si="16"/>
        <v>36.638749718012349</v>
      </c>
      <c r="X144" s="9" t="s">
        <v>8</v>
      </c>
      <c r="Y144" s="11">
        <v>4.8761000000000001</v>
      </c>
      <c r="AA144">
        <v>1235.25</v>
      </c>
      <c r="AG144" s="9" t="s">
        <v>8</v>
      </c>
      <c r="AH144">
        <v>45.44</v>
      </c>
      <c r="AI144">
        <f t="shared" si="18"/>
        <v>0.45439999999999997</v>
      </c>
    </row>
    <row r="145" spans="1:35" x14ac:dyDescent="0.3">
      <c r="A145" s="15"/>
      <c r="B145" s="1"/>
      <c r="C145" s="1">
        <v>1764.49</v>
      </c>
      <c r="D145" s="30">
        <v>2.0060000000000001E-2</v>
      </c>
      <c r="E145" s="25"/>
      <c r="G145" s="1"/>
      <c r="H145" s="1">
        <v>1764.49</v>
      </c>
      <c r="L145" s="26">
        <f t="shared" si="17"/>
        <v>2.0060000000000001E-2</v>
      </c>
      <c r="U145">
        <f t="shared" si="16"/>
        <v>32.533893965653064</v>
      </c>
      <c r="X145" s="9"/>
      <c r="Y145" s="11">
        <v>0.76163999999999998</v>
      </c>
      <c r="AA145">
        <v>1235.25</v>
      </c>
      <c r="AG145" s="9"/>
      <c r="AH145">
        <v>15.29</v>
      </c>
      <c r="AI145">
        <f t="shared" si="18"/>
        <v>0.15289999999999998</v>
      </c>
    </row>
    <row r="146" spans="1:35" x14ac:dyDescent="0.3">
      <c r="A146" s="15"/>
      <c r="B146" s="1"/>
      <c r="C146" s="1">
        <v>1120.29</v>
      </c>
      <c r="D146" s="30">
        <v>2.9700000000000001E-2</v>
      </c>
      <c r="E146" s="25"/>
      <c r="G146" s="1"/>
      <c r="H146" s="1">
        <v>1120.29</v>
      </c>
      <c r="L146" s="26">
        <f t="shared" si="17"/>
        <v>2.9700000000000001E-2</v>
      </c>
      <c r="U146">
        <f t="shared" si="16"/>
        <v>37.40319620737116</v>
      </c>
      <c r="X146" s="9"/>
      <c r="Y146" s="11">
        <v>0.98085</v>
      </c>
      <c r="AA146">
        <v>1235.25</v>
      </c>
      <c r="AG146" s="9"/>
      <c r="AH146">
        <v>14.9</v>
      </c>
      <c r="AI146">
        <f t="shared" si="18"/>
        <v>0.14899999999999999</v>
      </c>
    </row>
    <row r="147" spans="1:35" x14ac:dyDescent="0.3">
      <c r="A147" s="15"/>
      <c r="B147" s="1" t="s">
        <v>9</v>
      </c>
      <c r="C147" s="1">
        <v>1460.82</v>
      </c>
      <c r="D147" s="30">
        <v>1.3939999999999999E-2</v>
      </c>
      <c r="E147" s="25"/>
      <c r="G147" s="1" t="s">
        <v>9</v>
      </c>
      <c r="H147" s="1">
        <v>1460.82</v>
      </c>
      <c r="I147" s="34">
        <v>4.41848929E-3</v>
      </c>
      <c r="J147" s="20"/>
      <c r="L147" s="26">
        <f t="shared" si="17"/>
        <v>1.3939999999999999E-2</v>
      </c>
      <c r="U147">
        <f t="shared" si="16"/>
        <v>28.359348996292766</v>
      </c>
      <c r="X147" s="9" t="s">
        <v>9</v>
      </c>
      <c r="Y147" s="9">
        <v>1.74254</v>
      </c>
      <c r="AA147">
        <v>3545</v>
      </c>
      <c r="AG147" s="9" t="s">
        <v>9</v>
      </c>
      <c r="AH147">
        <v>10.66</v>
      </c>
      <c r="AI147">
        <f t="shared" si="18"/>
        <v>0.1066</v>
      </c>
    </row>
    <row r="148" spans="1:35" x14ac:dyDescent="0.3">
      <c r="A148" s="15"/>
      <c r="B148" s="1" t="s">
        <v>10</v>
      </c>
      <c r="C148" s="1">
        <v>238.63</v>
      </c>
      <c r="D148" s="30">
        <v>0.47843000000000002</v>
      </c>
      <c r="E148" s="25"/>
      <c r="G148" s="1" t="s">
        <v>10</v>
      </c>
      <c r="H148" s="1">
        <v>238.63</v>
      </c>
      <c r="I148" s="25"/>
      <c r="J148" s="25"/>
      <c r="L148" s="26">
        <f t="shared" si="17"/>
        <v>0.47414744968</v>
      </c>
      <c r="U148">
        <f t="shared" si="16"/>
        <v>49.815902105421053</v>
      </c>
      <c r="X148" s="9" t="s">
        <v>10</v>
      </c>
      <c r="Y148" s="11">
        <v>7.7333699999999999</v>
      </c>
      <c r="AA148">
        <v>812.5</v>
      </c>
      <c r="AG148" s="9" t="s">
        <v>10</v>
      </c>
      <c r="AH148">
        <v>43.6</v>
      </c>
      <c r="AI148">
        <f t="shared" si="18"/>
        <v>0.436</v>
      </c>
    </row>
    <row r="149" spans="1:35" x14ac:dyDescent="0.3">
      <c r="A149" s="15"/>
      <c r="B149" s="1" t="s">
        <v>11</v>
      </c>
      <c r="C149" s="1">
        <v>911.21</v>
      </c>
      <c r="D149" s="30">
        <v>8.337E-2</v>
      </c>
      <c r="E149" s="25"/>
      <c r="G149" s="1" t="s">
        <v>11</v>
      </c>
      <c r="H149" s="1">
        <v>911.21</v>
      </c>
      <c r="L149" s="26">
        <f t="shared" si="17"/>
        <v>8.337E-2</v>
      </c>
      <c r="U149">
        <f t="shared" si="16"/>
        <v>48.618089099743763</v>
      </c>
      <c r="X149" s="9" t="s">
        <v>11</v>
      </c>
      <c r="Y149" s="11">
        <v>1.39327</v>
      </c>
      <c r="AA149">
        <v>812.5</v>
      </c>
      <c r="AG149" s="9" t="s">
        <v>11</v>
      </c>
      <c r="AH149">
        <v>25.8</v>
      </c>
      <c r="AI149">
        <f t="shared" si="18"/>
        <v>0.25800000000000001</v>
      </c>
    </row>
    <row r="150" spans="1:35" x14ac:dyDescent="0.3">
      <c r="A150" s="15"/>
      <c r="B150" s="1"/>
      <c r="C150" s="1">
        <v>968.97</v>
      </c>
      <c r="D150" s="30">
        <v>5.178E-2</v>
      </c>
      <c r="E150" s="25"/>
      <c r="G150" s="1"/>
      <c r="H150" s="1">
        <v>968.97</v>
      </c>
      <c r="L150" s="26">
        <f t="shared" si="17"/>
        <v>5.178E-2</v>
      </c>
      <c r="U150">
        <f t="shared" si="16"/>
        <v>52.132253627588256</v>
      </c>
      <c r="X150" s="9"/>
      <c r="Y150" s="11">
        <v>0.80701000000000001</v>
      </c>
      <c r="AA150">
        <v>812.5</v>
      </c>
      <c r="AG150" s="9"/>
      <c r="AH150">
        <v>15.8</v>
      </c>
      <c r="AI150">
        <f t="shared" si="18"/>
        <v>0.158</v>
      </c>
    </row>
    <row r="151" spans="1:35" x14ac:dyDescent="0.3">
      <c r="A151" s="15"/>
      <c r="B151" s="1"/>
      <c r="C151" s="1">
        <v>338.32</v>
      </c>
      <c r="D151" s="30">
        <v>8.7249999999999994E-2</v>
      </c>
      <c r="E151" s="25"/>
      <c r="G151" s="1"/>
      <c r="H151" s="1">
        <v>338.32</v>
      </c>
      <c r="L151" s="26">
        <f t="shared" si="17"/>
        <v>8.7249999999999994E-2</v>
      </c>
      <c r="U151">
        <f t="shared" si="16"/>
        <v>49.799178801992234</v>
      </c>
      <c r="X151" s="9"/>
      <c r="Y151" s="11">
        <v>1.42353</v>
      </c>
      <c r="AA151">
        <v>812.5</v>
      </c>
      <c r="AG151" s="9"/>
      <c r="AH151">
        <v>11.27</v>
      </c>
      <c r="AI151">
        <f t="shared" si="18"/>
        <v>0.11269999999999999</v>
      </c>
    </row>
    <row r="152" spans="1:35" x14ac:dyDescent="0.3">
      <c r="A152" s="15"/>
      <c r="B152" s="1" t="s">
        <v>12</v>
      </c>
      <c r="C152" s="1">
        <v>2614.5300000000002</v>
      </c>
      <c r="D152" s="30">
        <v>4.8430000000000001E-2</v>
      </c>
      <c r="E152" s="25"/>
      <c r="G152" s="1" t="s">
        <v>12</v>
      </c>
      <c r="H152" s="1">
        <v>2614.5300000000002</v>
      </c>
      <c r="I152" s="32">
        <v>5.35422799E-3</v>
      </c>
      <c r="J152" s="25"/>
      <c r="L152" s="26">
        <f t="shared" si="17"/>
        <v>4.8430000000000001E-2</v>
      </c>
      <c r="U152">
        <f t="shared" si="16"/>
        <v>56.182091406216543</v>
      </c>
      <c r="X152" s="9" t="s">
        <v>12</v>
      </c>
      <c r="Y152" s="11">
        <v>0.70038999999999996</v>
      </c>
      <c r="AA152">
        <v>812.5</v>
      </c>
      <c r="AG152" s="9" t="s">
        <v>12</v>
      </c>
      <c r="AH152">
        <v>99.754000000000005</v>
      </c>
      <c r="AI152">
        <f t="shared" si="18"/>
        <v>0.99754000000000009</v>
      </c>
    </row>
    <row r="153" spans="1:35" x14ac:dyDescent="0.3">
      <c r="A153" s="15"/>
      <c r="B153" s="1"/>
      <c r="C153" s="1">
        <v>583.19000000000005</v>
      </c>
      <c r="D153" s="30">
        <v>0.13305</v>
      </c>
      <c r="E153" s="25"/>
      <c r="G153" s="1"/>
      <c r="H153" s="1">
        <v>583.19000000000005</v>
      </c>
      <c r="I153" s="20"/>
      <c r="J153" s="20"/>
      <c r="L153" s="26">
        <f t="shared" si="17"/>
        <v>0.13305</v>
      </c>
      <c r="U153">
        <f t="shared" si="16"/>
        <v>50.115724107238059</v>
      </c>
      <c r="X153" s="9"/>
      <c r="Y153" s="9">
        <v>2.15707</v>
      </c>
      <c r="AA153">
        <v>812.5</v>
      </c>
      <c r="AG153" s="9"/>
      <c r="AH153">
        <v>85</v>
      </c>
      <c r="AI153">
        <f t="shared" si="18"/>
        <v>0.85</v>
      </c>
    </row>
    <row r="154" spans="1:35" x14ac:dyDescent="0.3">
      <c r="A154" s="15"/>
      <c r="B154" s="1"/>
      <c r="C154" s="1">
        <v>510.77</v>
      </c>
      <c r="D154" s="30">
        <v>6.2619999999999995E-2</v>
      </c>
      <c r="E154" s="25"/>
      <c r="G154" s="1"/>
      <c r="H154" s="1">
        <v>510.77</v>
      </c>
      <c r="I154" s="18"/>
      <c r="J154" s="18"/>
      <c r="L154" s="26">
        <f t="shared" si="17"/>
        <v>6.2619999999999995E-2</v>
      </c>
      <c r="U154">
        <f t="shared" si="16"/>
        <v>75.625771065891755</v>
      </c>
      <c r="X154" s="9"/>
      <c r="Y154" s="11">
        <v>0.67276999999999998</v>
      </c>
      <c r="AA154">
        <v>812.5</v>
      </c>
      <c r="AG154" s="9"/>
      <c r="AH154">
        <v>22.6</v>
      </c>
      <c r="AI154">
        <f t="shared" si="18"/>
        <v>0.22600000000000001</v>
      </c>
    </row>
    <row r="155" spans="1:35" x14ac:dyDescent="0.3">
      <c r="A155" s="15"/>
      <c r="B155" s="1"/>
      <c r="C155" s="1">
        <v>860.56</v>
      </c>
      <c r="D155" s="30">
        <v>1.439E-2</v>
      </c>
      <c r="E155" s="25"/>
      <c r="G155" s="1"/>
      <c r="H155" s="1">
        <v>860.56</v>
      </c>
      <c r="L155" s="26">
        <f t="shared" si="17"/>
        <v>1.439E-2</v>
      </c>
      <c r="U155">
        <f t="shared" si="16"/>
        <v>47.796071457771234</v>
      </c>
      <c r="X155" s="9"/>
      <c r="Y155" s="11">
        <v>0.24462</v>
      </c>
      <c r="AA155">
        <v>812.5</v>
      </c>
      <c r="AG155" s="9"/>
      <c r="AH155">
        <v>12.5</v>
      </c>
      <c r="AI155">
        <f t="shared" si="18"/>
        <v>0.125</v>
      </c>
    </row>
    <row r="156" spans="1:35" x14ac:dyDescent="0.3">
      <c r="A156" s="15">
        <v>14</v>
      </c>
      <c r="B156" s="1" t="s">
        <v>7</v>
      </c>
      <c r="C156" s="1">
        <v>351.93</v>
      </c>
      <c r="D156" s="30">
        <v>0.14998</v>
      </c>
      <c r="E156" s="25"/>
      <c r="F156" t="s">
        <v>41</v>
      </c>
      <c r="G156" s="1" t="s">
        <v>7</v>
      </c>
      <c r="H156" s="1">
        <v>351.93</v>
      </c>
      <c r="I156" s="26"/>
      <c r="J156" s="26"/>
      <c r="K156">
        <v>14</v>
      </c>
      <c r="L156" s="26">
        <f>D156-I44</f>
        <v>0.14998</v>
      </c>
      <c r="T156">
        <v>14</v>
      </c>
      <c r="U156">
        <f t="shared" si="16"/>
        <v>26.877414810645188</v>
      </c>
      <c r="X156" s="9" t="s">
        <v>7</v>
      </c>
      <c r="Y156" s="11">
        <v>6.8928799999999999</v>
      </c>
      <c r="AA156">
        <v>1235.25</v>
      </c>
      <c r="AG156" s="9" t="s">
        <v>7</v>
      </c>
      <c r="AH156">
        <v>35.72</v>
      </c>
      <c r="AI156">
        <f>AH156/100</f>
        <v>0.35719999999999996</v>
      </c>
    </row>
    <row r="157" spans="1:35" x14ac:dyDescent="0.3">
      <c r="A157" s="15"/>
      <c r="B157" s="1"/>
      <c r="C157" s="1">
        <v>295.22000000000003</v>
      </c>
      <c r="D157" s="30">
        <v>8.7660000000000002E-2</v>
      </c>
      <c r="E157" s="25"/>
      <c r="G157" s="1"/>
      <c r="H157" s="1">
        <v>295.22000000000003</v>
      </c>
      <c r="L157" s="26">
        <f t="shared" ref="L157:L169" si="19">D157-I45</f>
        <v>8.7660000000000002E-2</v>
      </c>
      <c r="U157">
        <f t="shared" si="16"/>
        <v>26.537758253069626</v>
      </c>
      <c r="X157" s="9"/>
      <c r="Y157" s="11">
        <v>4.0803000000000003</v>
      </c>
      <c r="AA157">
        <v>1235.25</v>
      </c>
      <c r="AG157" s="9"/>
      <c r="AH157">
        <v>18.47</v>
      </c>
      <c r="AI157">
        <f t="shared" si="18"/>
        <v>0.18469999999999998</v>
      </c>
    </row>
    <row r="158" spans="1:35" x14ac:dyDescent="0.3">
      <c r="A158" s="15"/>
      <c r="B158" s="1" t="s">
        <v>8</v>
      </c>
      <c r="C158" s="1">
        <v>609.32000000000005</v>
      </c>
      <c r="D158" s="30">
        <v>0.10538</v>
      </c>
      <c r="E158" s="25"/>
      <c r="G158" s="1" t="s">
        <v>8</v>
      </c>
      <c r="H158" s="1">
        <v>609.32000000000005</v>
      </c>
      <c r="L158" s="26">
        <f t="shared" si="19"/>
        <v>0.10538</v>
      </c>
      <c r="U158">
        <f t="shared" si="16"/>
        <v>26.695647136030843</v>
      </c>
      <c r="X158" s="9" t="s">
        <v>8</v>
      </c>
      <c r="Y158" s="11">
        <v>4.8761000000000001</v>
      </c>
      <c r="AA158">
        <v>1235.25</v>
      </c>
      <c r="AG158" s="9" t="s">
        <v>8</v>
      </c>
      <c r="AH158">
        <v>45.44</v>
      </c>
      <c r="AI158">
        <f t="shared" si="18"/>
        <v>0.45439999999999997</v>
      </c>
    </row>
    <row r="159" spans="1:35" x14ac:dyDescent="0.3">
      <c r="A159" s="15"/>
      <c r="B159" s="1"/>
      <c r="C159" s="1">
        <v>1764.49</v>
      </c>
      <c r="D159" s="30">
        <v>1.6660000000000001E-2</v>
      </c>
      <c r="E159" s="25"/>
      <c r="G159" s="1"/>
      <c r="H159" s="1">
        <v>1764.49</v>
      </c>
      <c r="L159" s="26">
        <f t="shared" si="19"/>
        <v>1.6660000000000001E-2</v>
      </c>
      <c r="U159">
        <f t="shared" si="16"/>
        <v>27.019674649440681</v>
      </c>
      <c r="X159" s="9"/>
      <c r="Y159" s="11">
        <v>0.76163999999999998</v>
      </c>
      <c r="AA159">
        <v>1235.25</v>
      </c>
      <c r="AG159" s="9"/>
      <c r="AH159">
        <v>15.29</v>
      </c>
      <c r="AI159">
        <f t="shared" si="18"/>
        <v>0.15289999999999998</v>
      </c>
    </row>
    <row r="160" spans="1:35" x14ac:dyDescent="0.3">
      <c r="A160" s="15"/>
      <c r="B160" s="1"/>
      <c r="C160" s="1">
        <v>1120.29</v>
      </c>
      <c r="D160" s="30">
        <v>2.0570000000000001E-2</v>
      </c>
      <c r="E160" s="25"/>
      <c r="G160" s="1"/>
      <c r="H160" s="1">
        <v>1120.29</v>
      </c>
      <c r="L160" s="26">
        <f t="shared" si="19"/>
        <v>2.0570000000000001E-2</v>
      </c>
      <c r="U160">
        <f t="shared" si="16"/>
        <v>25.905176632512617</v>
      </c>
      <c r="X160" s="9"/>
      <c r="Y160" s="11">
        <v>0.98085</v>
      </c>
      <c r="AA160">
        <v>1235.25</v>
      </c>
      <c r="AG160" s="9"/>
      <c r="AH160">
        <v>14.9</v>
      </c>
      <c r="AI160">
        <f t="shared" si="18"/>
        <v>0.14899999999999999</v>
      </c>
    </row>
    <row r="161" spans="1:35" x14ac:dyDescent="0.3">
      <c r="A161" s="15"/>
      <c r="B161" s="1" t="s">
        <v>9</v>
      </c>
      <c r="C161" s="1">
        <v>1460.82</v>
      </c>
      <c r="D161" s="31">
        <v>8.6172507000000006E-3</v>
      </c>
      <c r="E161" s="25"/>
      <c r="G161" s="1" t="s">
        <v>9</v>
      </c>
      <c r="H161" s="1">
        <v>1460.82</v>
      </c>
      <c r="I161" s="34">
        <v>4.7468305799999999E-3</v>
      </c>
      <c r="J161" s="20"/>
      <c r="L161" s="26">
        <f t="shared" si="19"/>
        <v>8.6172507000000006E-3</v>
      </c>
      <c r="U161">
        <f t="shared" si="16"/>
        <v>17.530819224522823</v>
      </c>
      <c r="X161" s="9" t="s">
        <v>9</v>
      </c>
      <c r="Y161" s="9">
        <v>1.74254</v>
      </c>
      <c r="AA161">
        <v>3545</v>
      </c>
      <c r="AG161" s="9" t="s">
        <v>9</v>
      </c>
      <c r="AH161">
        <v>10.66</v>
      </c>
      <c r="AI161">
        <f t="shared" si="18"/>
        <v>0.1066</v>
      </c>
    </row>
    <row r="162" spans="1:35" x14ac:dyDescent="0.3">
      <c r="A162" s="15"/>
      <c r="B162" s="1" t="s">
        <v>10</v>
      </c>
      <c r="C162" s="1">
        <v>238.63</v>
      </c>
      <c r="D162" s="30">
        <v>0.33084999999999998</v>
      </c>
      <c r="E162" s="25"/>
      <c r="G162" s="1" t="s">
        <v>10</v>
      </c>
      <c r="H162" s="23">
        <v>238.63</v>
      </c>
      <c r="L162" s="26">
        <f t="shared" si="19"/>
        <v>0.32656744967999995</v>
      </c>
      <c r="U162">
        <f t="shared" si="16"/>
        <v>34.310533811908648</v>
      </c>
      <c r="X162" s="9" t="s">
        <v>10</v>
      </c>
      <c r="Y162" s="11">
        <v>7.7333699999999999</v>
      </c>
      <c r="AA162">
        <v>812.5</v>
      </c>
      <c r="AG162" s="9" t="s">
        <v>10</v>
      </c>
      <c r="AH162">
        <v>43.6</v>
      </c>
      <c r="AI162">
        <f t="shared" si="18"/>
        <v>0.436</v>
      </c>
    </row>
    <row r="163" spans="1:35" x14ac:dyDescent="0.3">
      <c r="A163" s="15"/>
      <c r="B163" s="1" t="s">
        <v>11</v>
      </c>
      <c r="C163" s="1">
        <v>911.21</v>
      </c>
      <c r="D163" s="30">
        <v>6.3729999999999995E-2</v>
      </c>
      <c r="E163" s="25"/>
      <c r="G163" s="1" t="s">
        <v>11</v>
      </c>
      <c r="H163" s="1">
        <v>911.21</v>
      </c>
      <c r="L163" s="26">
        <f t="shared" si="19"/>
        <v>6.3729999999999995E-2</v>
      </c>
      <c r="U163">
        <f t="shared" si="16"/>
        <v>37.164817300307902</v>
      </c>
      <c r="X163" s="9" t="s">
        <v>11</v>
      </c>
      <c r="Y163" s="11">
        <v>1.39327</v>
      </c>
      <c r="AA163">
        <v>812.5</v>
      </c>
      <c r="AG163" s="9" t="s">
        <v>11</v>
      </c>
      <c r="AH163">
        <v>25.8</v>
      </c>
      <c r="AI163">
        <f t="shared" si="18"/>
        <v>0.25800000000000001</v>
      </c>
    </row>
    <row r="164" spans="1:35" x14ac:dyDescent="0.3">
      <c r="A164" s="15"/>
      <c r="B164" s="1"/>
      <c r="C164" s="1">
        <v>968.97</v>
      </c>
      <c r="D164" s="30">
        <v>3.4470000000000001E-2</v>
      </c>
      <c r="E164" s="25"/>
      <c r="G164" s="1"/>
      <c r="H164" s="1">
        <v>968.97</v>
      </c>
      <c r="L164" s="26">
        <f t="shared" si="19"/>
        <v>3.4470000000000001E-2</v>
      </c>
      <c r="U164">
        <f t="shared" si="16"/>
        <v>34.704495607241547</v>
      </c>
      <c r="X164" s="9"/>
      <c r="Y164" s="11">
        <v>0.80701000000000001</v>
      </c>
      <c r="AA164">
        <v>812.5</v>
      </c>
      <c r="AG164" s="9"/>
      <c r="AH164">
        <v>15.8</v>
      </c>
      <c r="AI164">
        <f t="shared" si="18"/>
        <v>0.158</v>
      </c>
    </row>
    <row r="165" spans="1:35" x14ac:dyDescent="0.3">
      <c r="A165" s="15"/>
      <c r="B165" s="1"/>
      <c r="C165" s="1">
        <v>338.32</v>
      </c>
      <c r="D165" s="30">
        <v>5.9709999999999999E-2</v>
      </c>
      <c r="E165" s="25"/>
      <c r="G165" s="1"/>
      <c r="H165" s="1">
        <v>338.32</v>
      </c>
      <c r="L165" s="26">
        <f t="shared" si="19"/>
        <v>5.9709999999999999E-2</v>
      </c>
      <c r="U165">
        <f t="shared" si="16"/>
        <v>34.080331991598356</v>
      </c>
      <c r="X165" s="9"/>
      <c r="Y165" s="11">
        <v>1.42353</v>
      </c>
      <c r="AA165">
        <v>812.5</v>
      </c>
      <c r="AG165" s="9"/>
      <c r="AH165">
        <v>11.27</v>
      </c>
      <c r="AI165">
        <f t="shared" si="18"/>
        <v>0.11269999999999999</v>
      </c>
    </row>
    <row r="166" spans="1:35" x14ac:dyDescent="0.3">
      <c r="A166" s="15"/>
      <c r="B166" s="1" t="s">
        <v>12</v>
      </c>
      <c r="C166" s="1">
        <v>2614.5300000000002</v>
      </c>
      <c r="D166" s="30">
        <v>3.6650000000000002E-2</v>
      </c>
      <c r="E166" s="25"/>
      <c r="G166" s="1" t="s">
        <v>12</v>
      </c>
      <c r="H166" s="1">
        <v>2614.5300000000002</v>
      </c>
      <c r="I166" s="32">
        <v>3.2773344199999999E-3</v>
      </c>
      <c r="J166" s="25"/>
      <c r="L166" s="26">
        <f t="shared" si="19"/>
        <v>3.6650000000000002E-2</v>
      </c>
      <c r="U166">
        <f t="shared" si="16"/>
        <v>42.51649081226175</v>
      </c>
      <c r="X166" s="9" t="s">
        <v>12</v>
      </c>
      <c r="Y166" s="11">
        <v>0.70038999999999996</v>
      </c>
      <c r="AA166">
        <v>812.5</v>
      </c>
      <c r="AG166" s="9" t="s">
        <v>12</v>
      </c>
      <c r="AH166">
        <v>99.754000000000005</v>
      </c>
      <c r="AI166">
        <f t="shared" si="18"/>
        <v>0.99754000000000009</v>
      </c>
    </row>
    <row r="167" spans="1:35" x14ac:dyDescent="0.3">
      <c r="A167" s="15"/>
      <c r="B167" s="1"/>
      <c r="C167" s="1">
        <v>583.19000000000005</v>
      </c>
      <c r="D167" s="30">
        <v>9.7339999999999996E-2</v>
      </c>
      <c r="E167" s="25"/>
      <c r="G167" s="1"/>
      <c r="H167" s="1">
        <v>583.19000000000005</v>
      </c>
      <c r="I167" s="25"/>
      <c r="J167" s="25"/>
      <c r="L167" s="26">
        <f t="shared" si="19"/>
        <v>9.7339999999999996E-2</v>
      </c>
      <c r="U167">
        <f t="shared" si="16"/>
        <v>36.664897291233011</v>
      </c>
      <c r="X167" s="9"/>
      <c r="Y167" s="9">
        <v>2.15707</v>
      </c>
      <c r="AA167">
        <v>812.5</v>
      </c>
      <c r="AG167" s="9"/>
      <c r="AH167">
        <v>85</v>
      </c>
      <c r="AI167">
        <f t="shared" si="18"/>
        <v>0.85</v>
      </c>
    </row>
    <row r="168" spans="1:35" x14ac:dyDescent="0.3">
      <c r="A168" s="15"/>
      <c r="B168" s="1"/>
      <c r="C168" s="1">
        <v>510.77</v>
      </c>
      <c r="D168" s="30">
        <v>4.9770000000000002E-2</v>
      </c>
      <c r="E168" s="25"/>
      <c r="G168" s="1"/>
      <c r="H168" s="1">
        <v>510.77</v>
      </c>
      <c r="I168" s="29">
        <v>2.2380000000000001E-2</v>
      </c>
      <c r="J168" s="18"/>
      <c r="L168" s="26">
        <f t="shared" si="19"/>
        <v>4.9770000000000002E-2</v>
      </c>
      <c r="U168">
        <f t="shared" si="16"/>
        <v>60.106908750390183</v>
      </c>
      <c r="X168" s="9"/>
      <c r="Y168" s="11">
        <v>0.67276999999999998</v>
      </c>
      <c r="AA168">
        <v>812.5</v>
      </c>
      <c r="AG168" s="9"/>
      <c r="AH168">
        <v>22.6</v>
      </c>
      <c r="AI168">
        <f t="shared" si="18"/>
        <v>0.22600000000000001</v>
      </c>
    </row>
    <row r="169" spans="1:35" x14ac:dyDescent="0.3">
      <c r="A169" s="15"/>
      <c r="B169" s="1"/>
      <c r="C169" s="1">
        <v>860.56</v>
      </c>
      <c r="D169" s="30">
        <v>1.217E-2</v>
      </c>
      <c r="E169" s="25"/>
      <c r="G169" s="1"/>
      <c r="H169" s="1">
        <v>860.56</v>
      </c>
      <c r="L169" s="26">
        <f t="shared" si="19"/>
        <v>1.217E-2</v>
      </c>
      <c r="U169">
        <f t="shared" si="16"/>
        <v>40.422389829122721</v>
      </c>
      <c r="X169" s="9"/>
      <c r="Y169" s="11">
        <v>0.24462</v>
      </c>
      <c r="AA169">
        <v>812.5</v>
      </c>
      <c r="AG169" s="9"/>
      <c r="AH169">
        <v>12.5</v>
      </c>
      <c r="AI169">
        <f t="shared" si="18"/>
        <v>0.125</v>
      </c>
    </row>
    <row r="170" spans="1:35" x14ac:dyDescent="0.3">
      <c r="A170" s="15">
        <v>15</v>
      </c>
      <c r="B170" s="1" t="s">
        <v>7</v>
      </c>
      <c r="C170" s="1">
        <v>351.93</v>
      </c>
      <c r="D170" s="30">
        <v>0.17501</v>
      </c>
      <c r="E170" s="25"/>
      <c r="F170" t="s">
        <v>42</v>
      </c>
      <c r="G170" s="1" t="s">
        <v>7</v>
      </c>
      <c r="H170" s="1">
        <v>351.93</v>
      </c>
      <c r="I170" s="32">
        <v>3.7366954800000002E-3</v>
      </c>
      <c r="J170" s="25"/>
      <c r="K170">
        <v>15</v>
      </c>
      <c r="L170" s="26">
        <f>D170-I44</f>
        <v>0.17501</v>
      </c>
      <c r="T170">
        <v>15</v>
      </c>
      <c r="U170">
        <f t="shared" si="16"/>
        <v>31.36295750107357</v>
      </c>
      <c r="X170" s="9" t="s">
        <v>7</v>
      </c>
      <c r="Y170" s="11">
        <v>6.8928799999999999</v>
      </c>
      <c r="AA170">
        <v>1235.25</v>
      </c>
      <c r="AG170" s="9" t="s">
        <v>7</v>
      </c>
      <c r="AH170">
        <v>35.72</v>
      </c>
      <c r="AI170">
        <f>AH170/100</f>
        <v>0.35719999999999996</v>
      </c>
    </row>
    <row r="171" spans="1:35" x14ac:dyDescent="0.3">
      <c r="A171" s="15"/>
      <c r="B171" s="1"/>
      <c r="C171" s="1">
        <v>295.22000000000003</v>
      </c>
      <c r="D171" s="30">
        <v>0.10199</v>
      </c>
      <c r="E171" s="25"/>
      <c r="G171" s="1"/>
      <c r="H171" s="1">
        <v>295.22000000000003</v>
      </c>
      <c r="L171" s="26">
        <f t="shared" ref="L171:L183" si="20">D171-I45</f>
        <v>0.10199</v>
      </c>
      <c r="U171">
        <f t="shared" si="16"/>
        <v>30.875952135872357</v>
      </c>
      <c r="X171" s="9"/>
      <c r="Y171" s="11">
        <v>4.0803000000000003</v>
      </c>
      <c r="AA171">
        <v>1235.25</v>
      </c>
      <c r="AG171" s="9"/>
      <c r="AH171">
        <v>18.47</v>
      </c>
      <c r="AI171">
        <f t="shared" ref="AI171:AI197" si="21">AH171/100</f>
        <v>0.18469999999999998</v>
      </c>
    </row>
    <row r="172" spans="1:35" x14ac:dyDescent="0.3">
      <c r="A172" s="15"/>
      <c r="B172" s="1" t="s">
        <v>8</v>
      </c>
      <c r="C172" s="1">
        <v>609.32000000000005</v>
      </c>
      <c r="D172" s="30">
        <v>0.12770000000000001</v>
      </c>
      <c r="E172" s="25"/>
      <c r="G172" s="1" t="s">
        <v>8</v>
      </c>
      <c r="H172" s="23">
        <v>609.32000000000005</v>
      </c>
      <c r="L172" s="26">
        <f t="shared" si="20"/>
        <v>0.12770000000000001</v>
      </c>
      <c r="U172">
        <f t="shared" si="16"/>
        <v>32.349915916408605</v>
      </c>
      <c r="X172" s="9" t="s">
        <v>8</v>
      </c>
      <c r="Y172" s="11">
        <v>4.8761000000000001</v>
      </c>
      <c r="AA172">
        <v>1235.25</v>
      </c>
      <c r="AG172" s="9" t="s">
        <v>8</v>
      </c>
      <c r="AH172">
        <v>45.44</v>
      </c>
      <c r="AI172">
        <f t="shared" si="21"/>
        <v>0.45439999999999997</v>
      </c>
    </row>
    <row r="173" spans="1:35" x14ac:dyDescent="0.3">
      <c r="A173" s="15"/>
      <c r="B173" s="1"/>
      <c r="C173" s="1">
        <v>1764.49</v>
      </c>
      <c r="D173" s="30">
        <v>1.7850000000000001E-2</v>
      </c>
      <c r="E173" s="25"/>
      <c r="G173" s="1"/>
      <c r="H173" s="1">
        <v>1764.49</v>
      </c>
      <c r="L173" s="26">
        <f t="shared" si="20"/>
        <v>1.7850000000000001E-2</v>
      </c>
      <c r="U173">
        <f t="shared" si="16"/>
        <v>28.94965141011502</v>
      </c>
      <c r="X173" s="9"/>
      <c r="Y173" s="11">
        <v>0.76163999999999998</v>
      </c>
      <c r="AA173">
        <v>1235.25</v>
      </c>
      <c r="AG173" s="9"/>
      <c r="AH173">
        <v>15.29</v>
      </c>
      <c r="AI173">
        <f t="shared" si="21"/>
        <v>0.15289999999999998</v>
      </c>
    </row>
    <row r="174" spans="1:35" x14ac:dyDescent="0.3">
      <c r="A174" s="15"/>
      <c r="B174" s="1"/>
      <c r="C174" s="1">
        <v>1120.29</v>
      </c>
      <c r="D174" s="30">
        <v>2.4680000000000001E-2</v>
      </c>
      <c r="E174" s="25"/>
      <c r="G174" s="1"/>
      <c r="H174" s="23">
        <v>1120.29</v>
      </c>
      <c r="L174" s="26">
        <f t="shared" si="20"/>
        <v>2.4680000000000001E-2</v>
      </c>
      <c r="U174">
        <f t="shared" si="16"/>
        <v>31.081174491512463</v>
      </c>
      <c r="X174" s="9"/>
      <c r="Y174" s="11">
        <v>0.98085</v>
      </c>
      <c r="AA174">
        <v>1235.25</v>
      </c>
      <c r="AG174" s="9"/>
      <c r="AH174">
        <v>14.9</v>
      </c>
      <c r="AI174">
        <f t="shared" si="21"/>
        <v>0.14899999999999999</v>
      </c>
    </row>
    <row r="175" spans="1:35" x14ac:dyDescent="0.3">
      <c r="A175" s="15"/>
      <c r="B175" s="1" t="s">
        <v>9</v>
      </c>
      <c r="C175" s="1">
        <v>1460.82</v>
      </c>
      <c r="D175" s="31">
        <v>3.1482319700000001E-3</v>
      </c>
      <c r="E175" s="25"/>
      <c r="G175" s="1" t="s">
        <v>9</v>
      </c>
      <c r="H175" s="1">
        <v>1460.82</v>
      </c>
      <c r="I175" s="32">
        <v>5.4833190800000001E-3</v>
      </c>
      <c r="J175" s="25"/>
      <c r="L175" s="26">
        <f t="shared" si="20"/>
        <v>3.1482319700000001E-3</v>
      </c>
      <c r="U175">
        <f t="shared" si="16"/>
        <v>6.4047208865506677</v>
      </c>
      <c r="X175" s="9" t="s">
        <v>9</v>
      </c>
      <c r="Y175" s="9">
        <v>1.74254</v>
      </c>
      <c r="AA175">
        <v>3545</v>
      </c>
      <c r="AG175" s="9" t="s">
        <v>9</v>
      </c>
      <c r="AH175">
        <v>10.66</v>
      </c>
      <c r="AI175">
        <f t="shared" si="21"/>
        <v>0.1066</v>
      </c>
    </row>
    <row r="176" spans="1:35" x14ac:dyDescent="0.3">
      <c r="A176" s="15"/>
      <c r="B176" s="1" t="s">
        <v>10</v>
      </c>
      <c r="C176" s="1">
        <v>238.63</v>
      </c>
      <c r="D176" s="30">
        <v>0.42560999999999999</v>
      </c>
      <c r="E176" s="25"/>
      <c r="G176" s="1" t="s">
        <v>10</v>
      </c>
      <c r="H176" s="1">
        <v>238.63</v>
      </c>
      <c r="I176" s="32">
        <v>3.5433624699999998E-3</v>
      </c>
      <c r="J176" s="25"/>
      <c r="L176" s="26">
        <f t="shared" si="20"/>
        <v>0.42132744967999997</v>
      </c>
      <c r="U176">
        <f t="shared" si="16"/>
        <v>44.266413331445406</v>
      </c>
      <c r="X176" s="9" t="s">
        <v>10</v>
      </c>
      <c r="Y176" s="11">
        <v>7.7333699999999999</v>
      </c>
      <c r="AA176">
        <v>812.5</v>
      </c>
      <c r="AG176" s="9" t="s">
        <v>10</v>
      </c>
      <c r="AH176">
        <v>43.6</v>
      </c>
      <c r="AI176">
        <f t="shared" si="21"/>
        <v>0.436</v>
      </c>
    </row>
    <row r="177" spans="1:35" x14ac:dyDescent="0.3">
      <c r="A177" s="15"/>
      <c r="B177" s="1" t="s">
        <v>11</v>
      </c>
      <c r="C177" s="1">
        <v>911.21</v>
      </c>
      <c r="D177" s="30">
        <v>9.2730000000000007E-2</v>
      </c>
      <c r="E177" s="25"/>
      <c r="G177" s="1" t="s">
        <v>11</v>
      </c>
      <c r="H177" s="1">
        <v>911.21</v>
      </c>
      <c r="L177" s="26">
        <f t="shared" si="20"/>
        <v>9.2730000000000007E-2</v>
      </c>
      <c r="U177">
        <f t="shared" si="16"/>
        <v>54.07647117931198</v>
      </c>
      <c r="X177" s="9" t="s">
        <v>11</v>
      </c>
      <c r="Y177" s="11">
        <v>1.39327</v>
      </c>
      <c r="AA177">
        <v>812.5</v>
      </c>
      <c r="AG177" s="9" t="s">
        <v>11</v>
      </c>
      <c r="AH177">
        <v>25.8</v>
      </c>
      <c r="AI177">
        <f t="shared" si="21"/>
        <v>0.25800000000000001</v>
      </c>
    </row>
    <row r="178" spans="1:35" x14ac:dyDescent="0.3">
      <c r="A178" s="15"/>
      <c r="B178" s="1"/>
      <c r="C178" s="1">
        <v>968.97</v>
      </c>
      <c r="D178" s="30">
        <v>3.5680000000000003E-2</v>
      </c>
      <c r="E178" s="25"/>
      <c r="G178" s="1"/>
      <c r="H178" s="1">
        <v>968.97</v>
      </c>
      <c r="L178" s="26">
        <f t="shared" si="20"/>
        <v>3.5680000000000003E-2</v>
      </c>
      <c r="U178">
        <f t="shared" si="16"/>
        <v>35.922727103753367</v>
      </c>
      <c r="X178" s="9"/>
      <c r="Y178" s="11">
        <v>0.80701000000000001</v>
      </c>
      <c r="AA178">
        <v>812.5</v>
      </c>
      <c r="AG178" s="9"/>
      <c r="AH178">
        <v>15.8</v>
      </c>
      <c r="AI178">
        <f t="shared" si="21"/>
        <v>0.158</v>
      </c>
    </row>
    <row r="179" spans="1:35" x14ac:dyDescent="0.3">
      <c r="A179" s="15"/>
      <c r="B179" s="1"/>
      <c r="C179" s="1">
        <v>338.32</v>
      </c>
      <c r="D179" s="30">
        <v>8.7179999999999994E-2</v>
      </c>
      <c r="E179" s="25"/>
      <c r="G179" s="1"/>
      <c r="H179" s="1">
        <v>338.32</v>
      </c>
      <c r="L179" s="26">
        <f t="shared" si="20"/>
        <v>8.7179999999999994E-2</v>
      </c>
      <c r="U179">
        <f t="shared" si="16"/>
        <v>49.759225306105243</v>
      </c>
      <c r="X179" s="9"/>
      <c r="Y179" s="11">
        <v>1.42353</v>
      </c>
      <c r="AA179">
        <v>812.5</v>
      </c>
      <c r="AG179" s="9"/>
      <c r="AH179">
        <v>11.27</v>
      </c>
      <c r="AI179">
        <f t="shared" si="21"/>
        <v>0.11269999999999999</v>
      </c>
    </row>
    <row r="180" spans="1:35" x14ac:dyDescent="0.3">
      <c r="A180" s="15"/>
      <c r="B180" s="1" t="s">
        <v>12</v>
      </c>
      <c r="C180" s="1">
        <v>2614.5300000000002</v>
      </c>
      <c r="D180" s="30">
        <v>4.9189999999999998E-2</v>
      </c>
      <c r="E180" s="25"/>
      <c r="G180" s="1" t="s">
        <v>12</v>
      </c>
      <c r="H180" s="1">
        <v>2614.5300000000002</v>
      </c>
      <c r="I180" s="32">
        <v>5.2797408899999997E-3</v>
      </c>
      <c r="J180" s="25"/>
      <c r="L180" s="26">
        <f t="shared" si="20"/>
        <v>4.9189999999999998E-2</v>
      </c>
      <c r="U180">
        <f t="shared" si="16"/>
        <v>57.063743057439432</v>
      </c>
      <c r="X180" s="9" t="s">
        <v>12</v>
      </c>
      <c r="Y180" s="11">
        <v>0.70038999999999996</v>
      </c>
      <c r="AA180">
        <v>812.5</v>
      </c>
      <c r="AG180" s="9" t="s">
        <v>12</v>
      </c>
      <c r="AH180">
        <v>99.754000000000005</v>
      </c>
      <c r="AI180">
        <f t="shared" si="21"/>
        <v>0.99754000000000009</v>
      </c>
    </row>
    <row r="181" spans="1:35" x14ac:dyDescent="0.3">
      <c r="A181" s="15"/>
      <c r="B181" s="1"/>
      <c r="C181" s="1">
        <v>583.19000000000005</v>
      </c>
      <c r="D181" s="30">
        <v>0.14252999999999999</v>
      </c>
      <c r="E181" s="25"/>
      <c r="G181" s="1"/>
      <c r="H181" s="1">
        <v>583.19000000000005</v>
      </c>
      <c r="L181" s="26">
        <f t="shared" si="20"/>
        <v>0.14252999999999999</v>
      </c>
      <c r="U181">
        <f t="shared" si="16"/>
        <v>53.686540075194586</v>
      </c>
      <c r="X181" s="9"/>
      <c r="Y181" s="9">
        <v>2.15707</v>
      </c>
      <c r="AA181">
        <v>812.5</v>
      </c>
      <c r="AG181" s="9"/>
      <c r="AH181">
        <v>85</v>
      </c>
      <c r="AI181">
        <f t="shared" si="21"/>
        <v>0.85</v>
      </c>
    </row>
    <row r="182" spans="1:35" x14ac:dyDescent="0.3">
      <c r="A182" s="15"/>
      <c r="B182" s="1"/>
      <c r="C182" s="1">
        <v>510.77</v>
      </c>
      <c r="D182" s="30">
        <v>6.3490000000000005E-2</v>
      </c>
      <c r="E182" s="25"/>
      <c r="G182" s="1"/>
      <c r="H182" s="1">
        <v>510.77</v>
      </c>
      <c r="I182" s="33">
        <v>2.1870000000000001E-2</v>
      </c>
      <c r="J182" s="19"/>
      <c r="L182" s="26">
        <f t="shared" si="20"/>
        <v>6.3490000000000005E-2</v>
      </c>
      <c r="U182">
        <f t="shared" si="16"/>
        <v>76.676464467797331</v>
      </c>
      <c r="X182" s="9"/>
      <c r="Y182" s="11">
        <v>0.67276999999999998</v>
      </c>
      <c r="AA182">
        <v>812.5</v>
      </c>
      <c r="AG182" s="9"/>
      <c r="AH182">
        <v>22.6</v>
      </c>
      <c r="AI182">
        <f t="shared" si="21"/>
        <v>0.22600000000000001</v>
      </c>
    </row>
    <row r="183" spans="1:35" x14ac:dyDescent="0.3">
      <c r="A183" s="15"/>
      <c r="B183" s="1"/>
      <c r="C183" s="1">
        <v>860.56</v>
      </c>
      <c r="D183" s="30">
        <v>1.5859999999999999E-2</v>
      </c>
      <c r="E183" s="25"/>
      <c r="G183" s="1"/>
      <c r="H183" s="1">
        <v>860.56</v>
      </c>
      <c r="L183" s="26">
        <f t="shared" si="20"/>
        <v>1.5859999999999999E-2</v>
      </c>
      <c r="U183">
        <f t="shared" si="16"/>
        <v>52.678644428092547</v>
      </c>
      <c r="X183" s="9"/>
      <c r="Y183" s="11">
        <v>0.24462</v>
      </c>
      <c r="AA183">
        <v>812.5</v>
      </c>
      <c r="AG183" s="9"/>
      <c r="AH183">
        <v>12.5</v>
      </c>
      <c r="AI183">
        <f t="shared" si="21"/>
        <v>0.125</v>
      </c>
    </row>
    <row r="184" spans="1:35" x14ac:dyDescent="0.3">
      <c r="A184" s="21">
        <v>16</v>
      </c>
      <c r="B184" s="1" t="s">
        <v>7</v>
      </c>
      <c r="C184" s="1">
        <v>351.93</v>
      </c>
      <c r="D184" s="30">
        <v>8.9080000000000006E-2</v>
      </c>
      <c r="E184" s="25"/>
      <c r="F184" s="25"/>
      <c r="K184">
        <v>16</v>
      </c>
      <c r="L184" s="26">
        <f>D184-I58</f>
        <v>8.6530107640000006E-2</v>
      </c>
      <c r="T184">
        <v>16</v>
      </c>
      <c r="U184">
        <f t="shared" si="16"/>
        <v>15.506771547206684</v>
      </c>
      <c r="X184" s="9" t="s">
        <v>7</v>
      </c>
      <c r="Y184" s="11">
        <v>6.8928799999999999</v>
      </c>
      <c r="AA184">
        <v>1235.25</v>
      </c>
      <c r="AG184" s="9" t="s">
        <v>7</v>
      </c>
      <c r="AH184">
        <v>35.72</v>
      </c>
      <c r="AI184">
        <f>AH184/100</f>
        <v>0.35719999999999996</v>
      </c>
    </row>
    <row r="185" spans="1:35" x14ac:dyDescent="0.3">
      <c r="A185" s="15" t="s">
        <v>12</v>
      </c>
      <c r="B185" s="1"/>
      <c r="C185" s="1">
        <v>295.22000000000003</v>
      </c>
      <c r="D185" s="30">
        <v>5.5109999999999999E-2</v>
      </c>
      <c r="E185" s="25"/>
      <c r="F185" s="20"/>
      <c r="L185" s="26">
        <f t="shared" ref="L185:L197" si="22">D185-I59</f>
        <v>5.5109999999999999E-2</v>
      </c>
      <c r="U185">
        <f t="shared" si="16"/>
        <v>16.683730975663554</v>
      </c>
      <c r="X185" s="9"/>
      <c r="Y185" s="11">
        <v>4.0803000000000003</v>
      </c>
      <c r="AA185">
        <v>1235.25</v>
      </c>
      <c r="AG185" s="9"/>
      <c r="AH185">
        <v>18.47</v>
      </c>
      <c r="AI185">
        <f t="shared" si="21"/>
        <v>0.18469999999999998</v>
      </c>
    </row>
    <row r="186" spans="1:35" x14ac:dyDescent="0.3">
      <c r="A186" s="15" t="s">
        <v>32</v>
      </c>
      <c r="B186" s="1" t="s">
        <v>8</v>
      </c>
      <c r="C186" s="1">
        <v>609.32000000000005</v>
      </c>
      <c r="D186" s="30">
        <v>6.132E-2</v>
      </c>
      <c r="E186" s="25"/>
      <c r="F186" s="25"/>
      <c r="H186" s="16"/>
      <c r="L186" s="26">
        <f t="shared" si="22"/>
        <v>6.132E-2</v>
      </c>
      <c r="M186" s="25"/>
      <c r="N186" s="25"/>
      <c r="U186">
        <f t="shared" si="16"/>
        <v>15.534039498779762</v>
      </c>
      <c r="X186" s="9" t="s">
        <v>8</v>
      </c>
      <c r="Y186" s="11">
        <v>4.8761000000000001</v>
      </c>
      <c r="AA186">
        <v>1235.25</v>
      </c>
      <c r="AG186" s="9" t="s">
        <v>8</v>
      </c>
      <c r="AH186">
        <v>45.44</v>
      </c>
      <c r="AI186">
        <f t="shared" si="21"/>
        <v>0.45439999999999997</v>
      </c>
    </row>
    <row r="187" spans="1:35" x14ac:dyDescent="0.3">
      <c r="A187" s="15" t="s">
        <v>33</v>
      </c>
      <c r="B187" s="1"/>
      <c r="C187" s="1">
        <v>1764.49</v>
      </c>
      <c r="D187" s="33">
        <v>1.055E-2</v>
      </c>
      <c r="E187" s="25"/>
      <c r="F187" s="25"/>
      <c r="H187" s="16"/>
      <c r="L187" s="26">
        <f t="shared" si="22"/>
        <v>1.055E-2</v>
      </c>
      <c r="M187" s="25"/>
      <c r="N187" s="25"/>
      <c r="U187">
        <f t="shared" si="16"/>
        <v>17.110298172364899</v>
      </c>
      <c r="X187" s="9"/>
      <c r="Y187" s="11">
        <v>0.76163999999999998</v>
      </c>
      <c r="AA187">
        <v>1235.25</v>
      </c>
      <c r="AG187" s="9"/>
      <c r="AH187">
        <v>15.29</v>
      </c>
      <c r="AI187">
        <f t="shared" si="21"/>
        <v>0.15289999999999998</v>
      </c>
    </row>
    <row r="188" spans="1:35" x14ac:dyDescent="0.3">
      <c r="A188" s="15" t="s">
        <v>34</v>
      </c>
      <c r="B188" s="1"/>
      <c r="C188" s="1">
        <v>1120.29</v>
      </c>
      <c r="D188" s="30">
        <v>1.2200000000000001E-2</v>
      </c>
      <c r="E188" s="25"/>
      <c r="F188" s="25"/>
      <c r="H188" s="16"/>
      <c r="L188" s="26">
        <f t="shared" si="22"/>
        <v>1.2200000000000001E-2</v>
      </c>
      <c r="M188" s="25"/>
      <c r="N188" s="25"/>
      <c r="U188">
        <f t="shared" si="16"/>
        <v>15.364275883162565</v>
      </c>
      <c r="X188" s="9"/>
      <c r="Y188" s="11">
        <v>0.98085</v>
      </c>
      <c r="AA188">
        <v>1235.25</v>
      </c>
      <c r="AG188" s="9"/>
      <c r="AH188">
        <v>14.9</v>
      </c>
      <c r="AI188">
        <f t="shared" si="21"/>
        <v>0.14899999999999999</v>
      </c>
    </row>
    <row r="189" spans="1:35" x14ac:dyDescent="0.3">
      <c r="A189" s="15"/>
      <c r="B189" s="1" t="s">
        <v>9</v>
      </c>
      <c r="C189" s="1">
        <v>1460.82</v>
      </c>
      <c r="D189" s="31">
        <v>6.18397033E-3</v>
      </c>
      <c r="E189" s="25"/>
      <c r="F189" s="25"/>
      <c r="H189" s="16"/>
      <c r="L189" s="26">
        <f t="shared" si="22"/>
        <v>1.2982943499999997E-3</v>
      </c>
      <c r="M189" s="25"/>
      <c r="N189" s="25"/>
      <c r="U189">
        <f t="shared" si="16"/>
        <v>2.6412326091510088</v>
      </c>
      <c r="X189" s="9" t="s">
        <v>9</v>
      </c>
      <c r="Y189" s="9">
        <v>1.74254</v>
      </c>
      <c r="AA189">
        <v>3545</v>
      </c>
      <c r="AG189" s="9" t="s">
        <v>9</v>
      </c>
      <c r="AH189">
        <v>10.66</v>
      </c>
      <c r="AI189">
        <f t="shared" si="21"/>
        <v>0.1066</v>
      </c>
    </row>
    <row r="190" spans="1:35" x14ac:dyDescent="0.3">
      <c r="A190" s="15"/>
      <c r="B190" s="1" t="s">
        <v>10</v>
      </c>
      <c r="C190" s="1">
        <v>238.63</v>
      </c>
      <c r="D190" s="30">
        <v>0.17946000000000001</v>
      </c>
      <c r="E190" s="25"/>
      <c r="F190" s="25"/>
      <c r="H190" s="16"/>
      <c r="L190" s="26">
        <f t="shared" si="22"/>
        <v>0.17946000000000001</v>
      </c>
      <c r="M190" s="25"/>
      <c r="N190" s="25"/>
      <c r="U190">
        <f t="shared" si="16"/>
        <v>18.854813619418184</v>
      </c>
      <c r="X190" s="9" t="s">
        <v>10</v>
      </c>
      <c r="Y190" s="11">
        <v>7.7333699999999999</v>
      </c>
      <c r="AA190">
        <v>812.5</v>
      </c>
      <c r="AG190" s="9" t="s">
        <v>10</v>
      </c>
      <c r="AH190">
        <v>43.6</v>
      </c>
      <c r="AI190">
        <f t="shared" si="21"/>
        <v>0.436</v>
      </c>
    </row>
    <row r="191" spans="1:35" x14ac:dyDescent="0.3">
      <c r="A191" s="15"/>
      <c r="B191" s="1" t="s">
        <v>11</v>
      </c>
      <c r="C191" s="1">
        <v>911.21</v>
      </c>
      <c r="D191" s="30">
        <v>3.3410000000000002E-2</v>
      </c>
      <c r="E191" s="25"/>
      <c r="F191" s="20"/>
      <c r="H191" s="16"/>
      <c r="L191" s="26">
        <f t="shared" si="22"/>
        <v>3.3410000000000002E-2</v>
      </c>
      <c r="M191" s="25"/>
      <c r="N191" s="20"/>
      <c r="U191">
        <f t="shared" si="16"/>
        <v>19.483391589569862</v>
      </c>
      <c r="X191" s="9" t="s">
        <v>11</v>
      </c>
      <c r="Y191" s="11">
        <v>1.39327</v>
      </c>
      <c r="AA191">
        <v>812.5</v>
      </c>
      <c r="AG191" s="9" t="s">
        <v>11</v>
      </c>
      <c r="AH191">
        <v>25.8</v>
      </c>
      <c r="AI191">
        <f t="shared" si="21"/>
        <v>0.25800000000000001</v>
      </c>
    </row>
    <row r="192" spans="1:35" x14ac:dyDescent="0.3">
      <c r="A192" s="15"/>
      <c r="B192" s="1"/>
      <c r="C192" s="1">
        <v>968.97</v>
      </c>
      <c r="D192" s="30">
        <v>1.3520000000000001E-2</v>
      </c>
      <c r="E192" s="25"/>
      <c r="F192" s="25"/>
      <c r="H192" s="16"/>
      <c r="L192" s="26">
        <f t="shared" si="22"/>
        <v>1.3520000000000001E-2</v>
      </c>
      <c r="M192" s="25"/>
      <c r="N192" s="25"/>
      <c r="U192">
        <f t="shared" si="16"/>
        <v>13.611975068462598</v>
      </c>
      <c r="X192" s="9"/>
      <c r="Y192" s="11">
        <v>0.80701000000000001</v>
      </c>
      <c r="AA192">
        <v>812.5</v>
      </c>
      <c r="AG192" s="9"/>
      <c r="AH192">
        <v>15.8</v>
      </c>
      <c r="AI192">
        <f t="shared" si="21"/>
        <v>0.158</v>
      </c>
    </row>
    <row r="193" spans="1:35" x14ac:dyDescent="0.3">
      <c r="A193" s="15"/>
      <c r="B193" s="1"/>
      <c r="C193" s="1">
        <v>338.32</v>
      </c>
      <c r="D193" s="30">
        <v>2.9590000000000002E-2</v>
      </c>
      <c r="E193" s="25"/>
      <c r="F193" s="25"/>
      <c r="H193" s="16"/>
      <c r="L193" s="26">
        <f t="shared" si="22"/>
        <v>2.9590000000000002E-2</v>
      </c>
      <c r="M193" s="25"/>
      <c r="N193" s="25"/>
      <c r="U193">
        <f t="shared" si="16"/>
        <v>16.888913475655592</v>
      </c>
      <c r="X193" s="9"/>
      <c r="Y193" s="11">
        <v>1.42353</v>
      </c>
      <c r="AA193">
        <v>812.5</v>
      </c>
      <c r="AG193" s="9"/>
      <c r="AH193">
        <v>11.27</v>
      </c>
      <c r="AI193">
        <f t="shared" si="21"/>
        <v>0.11269999999999999</v>
      </c>
    </row>
    <row r="194" spans="1:35" x14ac:dyDescent="0.3">
      <c r="A194" s="15"/>
      <c r="B194" s="1" t="s">
        <v>12</v>
      </c>
      <c r="C194" s="1">
        <v>2614.5300000000002</v>
      </c>
      <c r="D194" s="4">
        <v>0</v>
      </c>
      <c r="E194" s="25"/>
      <c r="F194" s="25"/>
      <c r="H194" s="16"/>
      <c r="L194" s="26">
        <f t="shared" si="22"/>
        <v>0</v>
      </c>
      <c r="M194" s="25"/>
      <c r="N194" s="25"/>
      <c r="U194">
        <f t="shared" si="16"/>
        <v>0</v>
      </c>
      <c r="X194" s="9" t="s">
        <v>12</v>
      </c>
      <c r="Y194" s="11">
        <v>0.70038999999999996</v>
      </c>
      <c r="AA194">
        <v>812.5</v>
      </c>
      <c r="AG194" s="9" t="s">
        <v>12</v>
      </c>
      <c r="AH194">
        <v>99.754000000000005</v>
      </c>
      <c r="AI194">
        <f t="shared" si="21"/>
        <v>0.99754000000000009</v>
      </c>
    </row>
    <row r="195" spans="1:35" x14ac:dyDescent="0.3">
      <c r="A195" s="15"/>
      <c r="B195" s="1"/>
      <c r="C195" s="1">
        <v>583.19000000000005</v>
      </c>
      <c r="D195" s="30">
        <v>5.364E-2</v>
      </c>
      <c r="E195" s="25"/>
      <c r="F195" s="25"/>
      <c r="H195" s="16"/>
      <c r="L195" s="26">
        <f t="shared" si="22"/>
        <v>5.364E-2</v>
      </c>
      <c r="M195" s="25"/>
      <c r="N195" s="25"/>
      <c r="U195">
        <f t="shared" ref="U195:U258" si="23">(L195/Y195)*AA195</f>
        <v>20.204490350336336</v>
      </c>
      <c r="X195" s="9"/>
      <c r="Y195" s="9">
        <v>2.15707</v>
      </c>
      <c r="AA195">
        <v>812.5</v>
      </c>
      <c r="AG195" s="9"/>
      <c r="AH195">
        <v>85</v>
      </c>
      <c r="AI195">
        <f t="shared" si="21"/>
        <v>0.85</v>
      </c>
    </row>
    <row r="196" spans="1:35" x14ac:dyDescent="0.3">
      <c r="A196" s="15"/>
      <c r="B196" s="1"/>
      <c r="C196" s="1">
        <v>510.77</v>
      </c>
      <c r="D196" s="30">
        <v>3.406E-2</v>
      </c>
      <c r="E196" s="25"/>
      <c r="F196" s="25"/>
      <c r="H196" s="16"/>
      <c r="L196" s="26">
        <f t="shared" si="22"/>
        <v>3.406E-2</v>
      </c>
      <c r="M196" s="25"/>
      <c r="N196" s="25"/>
      <c r="U196">
        <f t="shared" si="23"/>
        <v>41.134042837819763</v>
      </c>
      <c r="X196" s="9"/>
      <c r="Y196" s="11">
        <v>0.67276999999999998</v>
      </c>
      <c r="AA196">
        <v>812.5</v>
      </c>
      <c r="AG196" s="9"/>
      <c r="AH196">
        <v>22.6</v>
      </c>
      <c r="AI196">
        <f t="shared" si="21"/>
        <v>0.22600000000000001</v>
      </c>
    </row>
    <row r="197" spans="1:35" x14ac:dyDescent="0.3">
      <c r="A197" s="15"/>
      <c r="B197" s="1"/>
      <c r="C197" s="1">
        <v>860.56</v>
      </c>
      <c r="D197" s="32">
        <v>4.8646067899999999E-3</v>
      </c>
      <c r="E197" s="25"/>
      <c r="F197" s="25"/>
      <c r="H197" s="16"/>
      <c r="L197" s="26">
        <f t="shared" si="22"/>
        <v>4.8646067899999999E-3</v>
      </c>
      <c r="M197" s="25"/>
      <c r="N197" s="25"/>
      <c r="U197">
        <f t="shared" si="23"/>
        <v>16.157685458568391</v>
      </c>
      <c r="X197" s="9"/>
      <c r="Y197" s="11">
        <v>0.24462</v>
      </c>
      <c r="AA197">
        <v>812.5</v>
      </c>
      <c r="AG197" s="9"/>
      <c r="AH197">
        <v>12.5</v>
      </c>
      <c r="AI197">
        <f t="shared" si="21"/>
        <v>0.125</v>
      </c>
    </row>
    <row r="198" spans="1:35" x14ac:dyDescent="0.3">
      <c r="A198" s="21">
        <v>18</v>
      </c>
      <c r="B198" s="1" t="s">
        <v>7</v>
      </c>
      <c r="C198" s="1">
        <v>351.93</v>
      </c>
      <c r="D198" s="30">
        <v>0.15054000000000001</v>
      </c>
      <c r="E198" s="25"/>
      <c r="F198" s="25"/>
      <c r="H198" s="16"/>
      <c r="K198">
        <v>18</v>
      </c>
      <c r="L198" s="25">
        <f>D198-I58</f>
        <v>0.14799010764000001</v>
      </c>
      <c r="M198" s="25"/>
      <c r="N198" s="25"/>
      <c r="T198">
        <v>18</v>
      </c>
      <c r="U198">
        <f t="shared" si="23"/>
        <v>26.520812847795117</v>
      </c>
      <c r="X198" s="9" t="s">
        <v>7</v>
      </c>
      <c r="Y198" s="11">
        <v>6.8928799999999999</v>
      </c>
      <c r="AA198">
        <v>1235.25</v>
      </c>
      <c r="AG198" s="9" t="s">
        <v>7</v>
      </c>
      <c r="AH198">
        <v>35.72</v>
      </c>
      <c r="AI198">
        <f>AH198/100</f>
        <v>0.35719999999999996</v>
      </c>
    </row>
    <row r="199" spans="1:35" x14ac:dyDescent="0.3">
      <c r="A199" s="15" t="s">
        <v>12</v>
      </c>
      <c r="B199" s="1"/>
      <c r="C199" s="1">
        <v>295.22000000000003</v>
      </c>
      <c r="D199" s="29">
        <v>8.2780000000000006E-2</v>
      </c>
      <c r="E199" s="25"/>
      <c r="F199" s="25"/>
      <c r="H199" s="16"/>
      <c r="L199" s="25">
        <f t="shared" ref="L199:L211" si="24">D199-I59</f>
        <v>8.2780000000000006E-2</v>
      </c>
      <c r="M199" s="25"/>
      <c r="N199" s="25"/>
      <c r="U199">
        <f t="shared" si="23"/>
        <v>25.060410999191234</v>
      </c>
      <c r="X199" s="9"/>
      <c r="Y199" s="11">
        <v>4.0803000000000003</v>
      </c>
      <c r="AA199">
        <v>1235.25</v>
      </c>
      <c r="AG199" s="9"/>
      <c r="AH199">
        <v>18.47</v>
      </c>
      <c r="AI199">
        <f t="shared" ref="AI199:AI225" si="25">AH199/100</f>
        <v>0.18469999999999998</v>
      </c>
    </row>
    <row r="200" spans="1:35" x14ac:dyDescent="0.3">
      <c r="A200" s="15">
        <v>351</v>
      </c>
      <c r="B200" s="1" t="s">
        <v>8</v>
      </c>
      <c r="C200" s="1">
        <v>609.32000000000005</v>
      </c>
      <c r="D200" s="30">
        <v>0.10206</v>
      </c>
      <c r="E200" s="25"/>
      <c r="F200" s="25"/>
      <c r="H200" s="16"/>
      <c r="L200" s="25">
        <f t="shared" si="24"/>
        <v>0.10206</v>
      </c>
      <c r="M200" s="25"/>
      <c r="N200" s="25"/>
      <c r="U200">
        <f t="shared" si="23"/>
        <v>25.854599987695082</v>
      </c>
      <c r="X200" s="9" t="s">
        <v>8</v>
      </c>
      <c r="Y200" s="11">
        <v>4.8761000000000001</v>
      </c>
      <c r="AA200">
        <v>1235.25</v>
      </c>
      <c r="AG200" s="9" t="s">
        <v>8</v>
      </c>
      <c r="AH200">
        <v>45.44</v>
      </c>
      <c r="AI200">
        <f t="shared" si="25"/>
        <v>0.45439999999999997</v>
      </c>
    </row>
    <row r="201" spans="1:35" x14ac:dyDescent="0.3">
      <c r="A201" s="15" t="s">
        <v>28</v>
      </c>
      <c r="B201" s="1"/>
      <c r="C201" s="1">
        <v>1764.49</v>
      </c>
      <c r="D201" s="30">
        <v>1.636E-2</v>
      </c>
      <c r="E201" s="25"/>
      <c r="F201" s="25"/>
      <c r="H201" s="16"/>
      <c r="L201" s="25">
        <f t="shared" si="24"/>
        <v>1.636E-2</v>
      </c>
      <c r="M201" s="25"/>
      <c r="N201" s="25"/>
      <c r="U201">
        <f t="shared" si="23"/>
        <v>26.533125886245472</v>
      </c>
      <c r="X201" s="9"/>
      <c r="Y201" s="11">
        <v>0.76163999999999998</v>
      </c>
      <c r="AA201">
        <v>1235.25</v>
      </c>
      <c r="AG201" s="9"/>
      <c r="AH201">
        <v>15.29</v>
      </c>
      <c r="AI201">
        <f t="shared" si="25"/>
        <v>0.15289999999999998</v>
      </c>
    </row>
    <row r="202" spans="1:35" x14ac:dyDescent="0.3">
      <c r="A202" s="15" t="s">
        <v>30</v>
      </c>
      <c r="B202" s="1"/>
      <c r="C202" s="1">
        <v>1120.29</v>
      </c>
      <c r="D202" s="30">
        <v>2.0889999999999999E-2</v>
      </c>
      <c r="E202" s="25"/>
      <c r="F202" s="25"/>
      <c r="H202" s="16"/>
      <c r="L202" s="25">
        <f t="shared" si="24"/>
        <v>2.0889999999999999E-2</v>
      </c>
      <c r="M202" s="25"/>
      <c r="N202" s="25"/>
      <c r="U202">
        <f t="shared" si="23"/>
        <v>26.308174032726715</v>
      </c>
      <c r="X202" s="9"/>
      <c r="Y202" s="11">
        <v>0.98085</v>
      </c>
      <c r="AA202">
        <v>1235.25</v>
      </c>
      <c r="AG202" s="9"/>
      <c r="AH202">
        <v>14.9</v>
      </c>
      <c r="AI202">
        <f t="shared" si="25"/>
        <v>0.14899999999999999</v>
      </c>
    </row>
    <row r="203" spans="1:35" x14ac:dyDescent="0.3">
      <c r="A203" s="15" t="s">
        <v>31</v>
      </c>
      <c r="B203" s="1" t="s">
        <v>9</v>
      </c>
      <c r="C203" s="1">
        <v>1460.82</v>
      </c>
      <c r="D203" s="29">
        <v>2.0830000000000001E-2</v>
      </c>
      <c r="E203" s="25"/>
      <c r="F203" s="25"/>
      <c r="H203" s="16"/>
      <c r="L203" s="25">
        <f t="shared" si="24"/>
        <v>1.5944324020000001E-2</v>
      </c>
      <c r="M203" s="25"/>
      <c r="N203" s="25"/>
      <c r="X203" s="9" t="s">
        <v>9</v>
      </c>
      <c r="Y203" s="9">
        <v>1.74254</v>
      </c>
      <c r="AA203">
        <v>3545</v>
      </c>
      <c r="AG203" s="9" t="s">
        <v>9</v>
      </c>
      <c r="AH203">
        <v>10.66</v>
      </c>
      <c r="AI203">
        <f t="shared" si="25"/>
        <v>0.1066</v>
      </c>
    </row>
    <row r="204" spans="1:35" x14ac:dyDescent="0.3">
      <c r="A204" s="15"/>
      <c r="B204" s="1" t="s">
        <v>10</v>
      </c>
      <c r="C204" s="1">
        <v>238.63</v>
      </c>
      <c r="D204" s="30">
        <v>0.47765999999999997</v>
      </c>
      <c r="E204" s="25"/>
      <c r="F204" s="25"/>
      <c r="H204" s="16"/>
      <c r="L204" s="25">
        <f t="shared" si="24"/>
        <v>0.47765999999999997</v>
      </c>
      <c r="M204" s="25"/>
      <c r="N204" s="25"/>
      <c r="X204" s="9" t="s">
        <v>10</v>
      </c>
      <c r="Y204" s="11">
        <v>7.7333699999999999</v>
      </c>
      <c r="AA204">
        <v>812.5</v>
      </c>
      <c r="AG204" s="9" t="s">
        <v>10</v>
      </c>
      <c r="AH204">
        <v>43.6</v>
      </c>
      <c r="AI204">
        <f t="shared" si="25"/>
        <v>0.436</v>
      </c>
    </row>
    <row r="205" spans="1:35" x14ac:dyDescent="0.3">
      <c r="A205" s="15"/>
      <c r="B205" s="1" t="s">
        <v>11</v>
      </c>
      <c r="C205" s="1">
        <v>911.21</v>
      </c>
      <c r="D205" s="30">
        <v>8.5730000000000001E-2</v>
      </c>
      <c r="E205" s="25"/>
      <c r="F205" s="25"/>
      <c r="H205" s="16"/>
      <c r="L205" s="25">
        <f t="shared" si="24"/>
        <v>8.5730000000000001E-2</v>
      </c>
      <c r="M205" s="25"/>
      <c r="N205" s="25"/>
      <c r="X205" s="9" t="s">
        <v>11</v>
      </c>
      <c r="Y205" s="11">
        <v>1.39327</v>
      </c>
      <c r="AA205">
        <v>812.5</v>
      </c>
      <c r="AG205" s="9" t="s">
        <v>11</v>
      </c>
      <c r="AH205">
        <v>25.8</v>
      </c>
      <c r="AI205">
        <f t="shared" si="25"/>
        <v>0.25800000000000001</v>
      </c>
    </row>
    <row r="206" spans="1:35" x14ac:dyDescent="0.3">
      <c r="A206" s="15"/>
      <c r="B206" s="1"/>
      <c r="C206" s="1">
        <v>968.97</v>
      </c>
      <c r="D206" s="30">
        <v>4.7320000000000001E-2</v>
      </c>
      <c r="E206" s="25"/>
      <c r="F206" s="25"/>
      <c r="H206" s="16"/>
      <c r="L206" s="25">
        <f t="shared" si="24"/>
        <v>4.7320000000000001E-2</v>
      </c>
      <c r="M206" s="25"/>
      <c r="N206" s="25"/>
      <c r="X206" s="9"/>
      <c r="Y206" s="11">
        <v>0.80701000000000001</v>
      </c>
      <c r="AA206">
        <v>812.5</v>
      </c>
      <c r="AG206" s="9"/>
      <c r="AH206">
        <v>15.8</v>
      </c>
      <c r="AI206">
        <f t="shared" si="25"/>
        <v>0.158</v>
      </c>
    </row>
    <row r="207" spans="1:35" x14ac:dyDescent="0.3">
      <c r="A207" s="15"/>
      <c r="B207" s="1"/>
      <c r="C207" s="1">
        <v>338.32</v>
      </c>
      <c r="D207" s="30">
        <v>8.1869999999999998E-2</v>
      </c>
      <c r="E207" s="25"/>
      <c r="F207" s="25"/>
      <c r="H207" s="16"/>
      <c r="L207" s="25">
        <f t="shared" si="24"/>
        <v>8.1869999999999998E-2</v>
      </c>
      <c r="M207" s="25"/>
      <c r="N207" s="25"/>
      <c r="X207" s="9"/>
      <c r="Y207" s="11">
        <v>1.42353</v>
      </c>
      <c r="AA207">
        <v>812.5</v>
      </c>
      <c r="AG207" s="9"/>
      <c r="AH207">
        <v>11.27</v>
      </c>
      <c r="AI207">
        <f t="shared" si="25"/>
        <v>0.11269999999999999</v>
      </c>
    </row>
    <row r="208" spans="1:35" x14ac:dyDescent="0.3">
      <c r="A208" s="15"/>
      <c r="B208" s="1" t="s">
        <v>12</v>
      </c>
      <c r="C208" s="1">
        <v>2614.5300000000002</v>
      </c>
      <c r="D208" s="30">
        <v>0</v>
      </c>
      <c r="E208" s="25"/>
      <c r="F208" s="25"/>
      <c r="H208" s="16"/>
      <c r="L208" s="25">
        <f t="shared" si="24"/>
        <v>0</v>
      </c>
      <c r="M208" s="25"/>
      <c r="N208" s="25"/>
      <c r="U208">
        <f t="shared" si="23"/>
        <v>0</v>
      </c>
      <c r="X208" s="9" t="s">
        <v>12</v>
      </c>
      <c r="Y208" s="11">
        <v>0.70038999999999996</v>
      </c>
      <c r="AA208">
        <v>812.5</v>
      </c>
      <c r="AG208" s="9" t="s">
        <v>12</v>
      </c>
      <c r="AH208">
        <v>99.754000000000005</v>
      </c>
      <c r="AI208">
        <f t="shared" si="25"/>
        <v>0.99754000000000009</v>
      </c>
    </row>
    <row r="209" spans="1:35" x14ac:dyDescent="0.3">
      <c r="A209" s="15"/>
      <c r="B209" s="1"/>
      <c r="C209" s="1">
        <v>583.19000000000005</v>
      </c>
      <c r="D209" s="30">
        <v>0.13012000000000001</v>
      </c>
      <c r="E209" s="25"/>
      <c r="F209" s="25"/>
      <c r="H209" s="16"/>
      <c r="L209" s="25">
        <f t="shared" si="24"/>
        <v>0.13012000000000001</v>
      </c>
      <c r="M209" s="25"/>
      <c r="N209" s="25"/>
      <c r="U209">
        <f t="shared" si="23"/>
        <v>49.012085838660781</v>
      </c>
      <c r="X209" s="9"/>
      <c r="Y209" s="9">
        <v>2.15707</v>
      </c>
      <c r="AA209">
        <v>812.5</v>
      </c>
      <c r="AG209" s="9"/>
      <c r="AH209">
        <v>85</v>
      </c>
      <c r="AI209">
        <f t="shared" si="25"/>
        <v>0.85</v>
      </c>
    </row>
    <row r="210" spans="1:35" x14ac:dyDescent="0.3">
      <c r="A210" s="15"/>
      <c r="B210" s="1"/>
      <c r="C210" s="1">
        <v>510.77</v>
      </c>
      <c r="D210" s="30">
        <v>6.0999999999999999E-2</v>
      </c>
      <c r="E210" s="25"/>
      <c r="F210" s="25"/>
      <c r="H210" s="16"/>
      <c r="L210" s="25">
        <f t="shared" si="24"/>
        <v>6.0999999999999999E-2</v>
      </c>
      <c r="M210" s="25"/>
      <c r="N210" s="25"/>
      <c r="U210">
        <f t="shared" si="23"/>
        <v>73.669307489929693</v>
      </c>
      <c r="X210" s="9"/>
      <c r="Y210" s="11">
        <v>0.67276999999999998</v>
      </c>
      <c r="AA210">
        <v>812.5</v>
      </c>
      <c r="AG210" s="9"/>
      <c r="AH210">
        <v>22.6</v>
      </c>
      <c r="AI210">
        <f t="shared" si="25"/>
        <v>0.22600000000000001</v>
      </c>
    </row>
    <row r="211" spans="1:35" x14ac:dyDescent="0.3">
      <c r="A211" s="15"/>
      <c r="B211" s="1"/>
      <c r="C211" s="1">
        <v>860.56</v>
      </c>
      <c r="D211" s="30">
        <v>1.3809999999999999E-2</v>
      </c>
      <c r="E211" s="25"/>
      <c r="F211" s="25"/>
      <c r="H211" s="16"/>
      <c r="L211" s="25">
        <f t="shared" si="24"/>
        <v>1.3809999999999999E-2</v>
      </c>
      <c r="M211" s="25"/>
      <c r="N211" s="25"/>
      <c r="U211">
        <f t="shared" si="23"/>
        <v>45.869614095331528</v>
      </c>
      <c r="X211" s="9"/>
      <c r="Y211" s="11">
        <v>0.24462</v>
      </c>
      <c r="AA211">
        <v>812.5</v>
      </c>
      <c r="AG211" s="9"/>
      <c r="AH211">
        <v>12.5</v>
      </c>
      <c r="AI211">
        <f t="shared" si="25"/>
        <v>0.125</v>
      </c>
    </row>
    <row r="212" spans="1:35" x14ac:dyDescent="0.3">
      <c r="A212" s="21">
        <v>19</v>
      </c>
      <c r="B212" s="1" t="s">
        <v>7</v>
      </c>
      <c r="C212" s="1">
        <v>351.93</v>
      </c>
      <c r="D212" s="30">
        <v>0.28172999999999998</v>
      </c>
      <c r="E212" s="25"/>
      <c r="F212" s="25"/>
      <c r="H212" s="16"/>
      <c r="K212">
        <v>19</v>
      </c>
      <c r="L212" s="25">
        <f>D212-I72</f>
        <v>0.28172999999999998</v>
      </c>
      <c r="M212" s="25"/>
      <c r="N212" s="25"/>
      <c r="T212">
        <v>19</v>
      </c>
      <c r="U212">
        <f t="shared" si="23"/>
        <v>50.487892216315963</v>
      </c>
      <c r="X212" s="9" t="s">
        <v>7</v>
      </c>
      <c r="Y212" s="11">
        <v>6.8928799999999999</v>
      </c>
      <c r="AA212">
        <v>1235.25</v>
      </c>
      <c r="AG212" s="9" t="s">
        <v>7</v>
      </c>
      <c r="AH212">
        <v>35.72</v>
      </c>
      <c r="AI212">
        <f>AH212/100</f>
        <v>0.35719999999999996</v>
      </c>
    </row>
    <row r="213" spans="1:35" x14ac:dyDescent="0.3">
      <c r="A213" s="15" t="s">
        <v>12</v>
      </c>
      <c r="B213" s="1"/>
      <c r="C213" s="1">
        <v>295.22000000000003</v>
      </c>
      <c r="D213" s="30">
        <v>0.16786999999999999</v>
      </c>
      <c r="E213" s="25"/>
      <c r="F213" s="25"/>
      <c r="H213" s="16"/>
      <c r="L213" s="25">
        <f t="shared" ref="L213:L225" si="26">D213-I73</f>
        <v>0.16786999999999999</v>
      </c>
      <c r="M213" s="25"/>
      <c r="N213" s="25"/>
      <c r="U213">
        <f t="shared" si="23"/>
        <v>50.820140063230639</v>
      </c>
      <c r="X213" s="9"/>
      <c r="Y213" s="11">
        <v>4.0803000000000003</v>
      </c>
      <c r="AA213">
        <v>1235.25</v>
      </c>
      <c r="AG213" s="9"/>
      <c r="AH213">
        <v>18.47</v>
      </c>
      <c r="AI213">
        <f t="shared" si="25"/>
        <v>0.18469999999999998</v>
      </c>
    </row>
    <row r="214" spans="1:35" x14ac:dyDescent="0.3">
      <c r="A214" s="15" t="s">
        <v>28</v>
      </c>
      <c r="B214" s="1" t="s">
        <v>8</v>
      </c>
      <c r="C214" s="1">
        <v>609.32000000000005</v>
      </c>
      <c r="D214" s="30">
        <v>0.19653000000000001</v>
      </c>
      <c r="E214" s="25"/>
      <c r="F214" s="25"/>
      <c r="H214" s="16"/>
      <c r="L214" s="25">
        <f t="shared" si="26"/>
        <v>0.19653000000000001</v>
      </c>
      <c r="M214" s="25"/>
      <c r="N214" s="25"/>
      <c r="U214">
        <f t="shared" si="23"/>
        <v>49.786444597116549</v>
      </c>
      <c r="X214" s="9" t="s">
        <v>8</v>
      </c>
      <c r="Y214" s="11">
        <v>4.8761000000000001</v>
      </c>
      <c r="AA214">
        <v>1235.25</v>
      </c>
      <c r="AG214" s="9" t="s">
        <v>8</v>
      </c>
      <c r="AH214">
        <v>45.44</v>
      </c>
      <c r="AI214">
        <f t="shared" si="25"/>
        <v>0.45439999999999997</v>
      </c>
    </row>
    <row r="215" spans="1:35" x14ac:dyDescent="0.3">
      <c r="A215" s="15" t="s">
        <v>29</v>
      </c>
      <c r="B215" s="1"/>
      <c r="C215" s="1">
        <v>1764.49</v>
      </c>
      <c r="D215" s="4">
        <v>0</v>
      </c>
      <c r="E215" s="25"/>
      <c r="F215" s="25"/>
      <c r="H215" s="16"/>
      <c r="L215" s="25">
        <f t="shared" si="26"/>
        <v>0</v>
      </c>
      <c r="M215" s="25"/>
      <c r="N215" s="25"/>
      <c r="U215">
        <f t="shared" si="23"/>
        <v>0</v>
      </c>
      <c r="X215" s="9"/>
      <c r="Y215" s="11">
        <v>0.76163999999999998</v>
      </c>
      <c r="AA215">
        <v>1235.25</v>
      </c>
      <c r="AG215" s="9"/>
      <c r="AH215">
        <v>15.29</v>
      </c>
      <c r="AI215">
        <f t="shared" si="25"/>
        <v>0.15289999999999998</v>
      </c>
    </row>
    <row r="216" spans="1:35" x14ac:dyDescent="0.3">
      <c r="A216" s="15" t="s">
        <v>23</v>
      </c>
      <c r="B216" s="1"/>
      <c r="C216" s="1">
        <v>1120.29</v>
      </c>
      <c r="D216" s="30">
        <v>3.9010000000000003E-2</v>
      </c>
      <c r="E216" s="25"/>
      <c r="F216" s="25"/>
      <c r="H216" s="16"/>
      <c r="L216" s="25">
        <f t="shared" si="26"/>
        <v>3.9010000000000003E-2</v>
      </c>
      <c r="M216" s="25"/>
      <c r="N216" s="25"/>
      <c r="U216">
        <f t="shared" si="23"/>
        <v>49.127901819850138</v>
      </c>
      <c r="X216" s="9"/>
      <c r="Y216" s="11">
        <v>0.98085</v>
      </c>
      <c r="AA216">
        <v>1235.25</v>
      </c>
      <c r="AG216" s="9"/>
      <c r="AH216">
        <v>14.9</v>
      </c>
      <c r="AI216">
        <f t="shared" si="25"/>
        <v>0.14899999999999999</v>
      </c>
    </row>
    <row r="217" spans="1:35" x14ac:dyDescent="0.3">
      <c r="A217" s="15"/>
      <c r="B217" s="1" t="s">
        <v>9</v>
      </c>
      <c r="C217" s="1">
        <v>1460.82</v>
      </c>
      <c r="D217" s="30">
        <v>1.6500000000000001E-2</v>
      </c>
      <c r="E217" s="25"/>
      <c r="F217" s="25"/>
      <c r="H217" s="16"/>
      <c r="L217" s="25">
        <f t="shared" si="26"/>
        <v>1.0539359050000001E-2</v>
      </c>
      <c r="M217" s="25"/>
      <c r="N217" s="25"/>
      <c r="X217" s="9" t="s">
        <v>9</v>
      </c>
      <c r="Y217" s="9">
        <v>1.74254</v>
      </c>
      <c r="AA217">
        <v>3545</v>
      </c>
      <c r="AG217" s="9" t="s">
        <v>9</v>
      </c>
      <c r="AH217">
        <v>10.66</v>
      </c>
      <c r="AI217">
        <f t="shared" si="25"/>
        <v>0.1066</v>
      </c>
    </row>
    <row r="218" spans="1:35" x14ac:dyDescent="0.3">
      <c r="A218" s="15"/>
      <c r="B218" s="1" t="s">
        <v>10</v>
      </c>
      <c r="C218" s="1">
        <v>238.63</v>
      </c>
      <c r="D218" s="33">
        <v>1.05124</v>
      </c>
      <c r="E218" s="25"/>
      <c r="F218" s="25"/>
      <c r="H218" s="16"/>
      <c r="L218" s="25">
        <f t="shared" si="26"/>
        <v>1.05124</v>
      </c>
      <c r="M218" s="25"/>
      <c r="N218" s="25"/>
      <c r="X218" s="9" t="s">
        <v>10</v>
      </c>
      <c r="Y218" s="11">
        <v>7.7333699999999999</v>
      </c>
      <c r="AA218">
        <v>812.5</v>
      </c>
      <c r="AG218" s="9" t="s">
        <v>10</v>
      </c>
      <c r="AH218">
        <v>43.6</v>
      </c>
      <c r="AI218">
        <f t="shared" si="25"/>
        <v>0.436</v>
      </c>
    </row>
    <row r="219" spans="1:35" x14ac:dyDescent="0.3">
      <c r="A219" s="15"/>
      <c r="B219" s="1" t="s">
        <v>11</v>
      </c>
      <c r="C219" s="1">
        <v>911.21</v>
      </c>
      <c r="D219" s="29">
        <v>0.18976999999999999</v>
      </c>
      <c r="E219" s="25"/>
      <c r="F219" s="25"/>
      <c r="H219" s="16"/>
      <c r="L219" s="25">
        <f t="shared" si="26"/>
        <v>0.18976999999999999</v>
      </c>
      <c r="M219" s="25"/>
      <c r="N219" s="25"/>
      <c r="X219" s="9" t="s">
        <v>11</v>
      </c>
      <c r="Y219" s="11">
        <v>1.39327</v>
      </c>
      <c r="AA219">
        <v>812.5</v>
      </c>
      <c r="AG219" s="9" t="s">
        <v>11</v>
      </c>
      <c r="AH219">
        <v>25.8</v>
      </c>
      <c r="AI219">
        <f t="shared" si="25"/>
        <v>0.25800000000000001</v>
      </c>
    </row>
    <row r="220" spans="1:35" x14ac:dyDescent="0.3">
      <c r="A220" s="15"/>
      <c r="B220" s="1"/>
      <c r="C220" s="1">
        <v>968.97</v>
      </c>
      <c r="D220" s="30">
        <v>0.11061</v>
      </c>
      <c r="E220" s="18"/>
      <c r="F220" s="18"/>
      <c r="H220" s="16"/>
      <c r="L220" s="25">
        <f t="shared" si="26"/>
        <v>0.11061</v>
      </c>
      <c r="M220" s="18"/>
      <c r="N220" s="18"/>
      <c r="X220" s="9"/>
      <c r="Y220" s="11">
        <v>0.80701000000000001</v>
      </c>
      <c r="AA220">
        <v>812.5</v>
      </c>
      <c r="AG220" s="9"/>
      <c r="AH220">
        <v>15.8</v>
      </c>
      <c r="AI220">
        <f t="shared" si="25"/>
        <v>0.158</v>
      </c>
    </row>
    <row r="221" spans="1:35" x14ac:dyDescent="0.3">
      <c r="A221" s="15"/>
      <c r="B221" s="1"/>
      <c r="C221" s="1">
        <v>338.32</v>
      </c>
      <c r="D221" s="30">
        <v>0.18970000000000001</v>
      </c>
      <c r="E221" s="25"/>
      <c r="F221" s="25"/>
      <c r="H221" s="16"/>
      <c r="L221" s="25">
        <f t="shared" si="26"/>
        <v>0.18970000000000001</v>
      </c>
      <c r="M221" s="25"/>
      <c r="N221" s="25"/>
      <c r="X221" s="9"/>
      <c r="Y221" s="11">
        <v>1.42353</v>
      </c>
      <c r="AA221">
        <v>812.5</v>
      </c>
      <c r="AG221" s="9"/>
      <c r="AH221">
        <v>11.27</v>
      </c>
      <c r="AI221">
        <f t="shared" si="25"/>
        <v>0.11269999999999999</v>
      </c>
    </row>
    <row r="222" spans="1:35" x14ac:dyDescent="0.3">
      <c r="A222" s="15"/>
      <c r="B222" s="1" t="s">
        <v>12</v>
      </c>
      <c r="C222" s="1">
        <v>2614.5300000000002</v>
      </c>
      <c r="D222" s="4">
        <v>0</v>
      </c>
      <c r="E222" s="25"/>
      <c r="F222" s="25"/>
      <c r="H222" s="16"/>
      <c r="L222" s="25">
        <f t="shared" si="26"/>
        <v>0</v>
      </c>
      <c r="M222" s="25"/>
      <c r="N222" s="25"/>
      <c r="U222">
        <f t="shared" si="23"/>
        <v>0</v>
      </c>
      <c r="X222" s="9" t="s">
        <v>12</v>
      </c>
      <c r="Y222" s="11">
        <v>0.70038999999999996</v>
      </c>
      <c r="AA222">
        <v>812.5</v>
      </c>
      <c r="AG222" s="9" t="s">
        <v>12</v>
      </c>
      <c r="AH222">
        <v>99.754000000000005</v>
      </c>
      <c r="AI222">
        <f t="shared" si="25"/>
        <v>0.99754000000000009</v>
      </c>
    </row>
    <row r="223" spans="1:35" x14ac:dyDescent="0.3">
      <c r="A223" s="15"/>
      <c r="B223" s="1"/>
      <c r="C223" s="1">
        <v>583.19000000000005</v>
      </c>
      <c r="D223" s="30">
        <v>0.29579</v>
      </c>
      <c r="E223" s="25"/>
      <c r="F223" s="25"/>
      <c r="H223" s="16"/>
      <c r="L223" s="25">
        <f t="shared" si="26"/>
        <v>0.29579</v>
      </c>
      <c r="M223" s="25"/>
      <c r="N223" s="25"/>
      <c r="U223">
        <f t="shared" si="23"/>
        <v>111.41473155715856</v>
      </c>
      <c r="X223" s="9"/>
      <c r="Y223" s="9">
        <v>2.15707</v>
      </c>
      <c r="AA223">
        <v>812.5</v>
      </c>
      <c r="AG223" s="9"/>
      <c r="AH223">
        <v>85</v>
      </c>
      <c r="AI223">
        <f t="shared" si="25"/>
        <v>0.85</v>
      </c>
    </row>
    <row r="224" spans="1:35" x14ac:dyDescent="0.3">
      <c r="A224" s="15"/>
      <c r="B224" s="1"/>
      <c r="C224" s="1">
        <v>510.77</v>
      </c>
      <c r="D224" s="33">
        <v>0.11395</v>
      </c>
      <c r="E224" s="25"/>
      <c r="F224" s="25"/>
      <c r="H224" s="16"/>
      <c r="L224" s="25">
        <f t="shared" si="26"/>
        <v>0.11395</v>
      </c>
      <c r="M224" s="25"/>
      <c r="N224" s="25"/>
      <c r="U224">
        <f t="shared" si="23"/>
        <v>137.61668177831947</v>
      </c>
      <c r="X224" s="9"/>
      <c r="Y224" s="11">
        <v>0.67276999999999998</v>
      </c>
      <c r="AA224">
        <v>812.5</v>
      </c>
      <c r="AG224" s="9"/>
      <c r="AH224">
        <v>22.6</v>
      </c>
      <c r="AI224">
        <f t="shared" si="25"/>
        <v>0.22600000000000001</v>
      </c>
    </row>
    <row r="225" spans="1:35" x14ac:dyDescent="0.3">
      <c r="A225" s="15"/>
      <c r="B225" s="1"/>
      <c r="C225" s="1">
        <v>860.56</v>
      </c>
      <c r="D225" s="30">
        <v>3.1309999999999998E-2</v>
      </c>
      <c r="E225" s="25"/>
      <c r="F225" s="25"/>
      <c r="H225" s="16"/>
      <c r="L225" s="25">
        <f t="shared" si="26"/>
        <v>3.1309999999999998E-2</v>
      </c>
      <c r="M225" s="25"/>
      <c r="N225" s="25"/>
      <c r="U225">
        <f t="shared" si="23"/>
        <v>103.9954827896329</v>
      </c>
      <c r="X225" s="9"/>
      <c r="Y225" s="11">
        <v>0.24462</v>
      </c>
      <c r="AA225">
        <v>812.5</v>
      </c>
      <c r="AG225" s="9"/>
      <c r="AH225">
        <v>12.5</v>
      </c>
      <c r="AI225">
        <f t="shared" si="25"/>
        <v>0.125</v>
      </c>
    </row>
    <row r="226" spans="1:35" x14ac:dyDescent="0.3">
      <c r="A226" s="15">
        <v>20</v>
      </c>
      <c r="B226" s="1" t="s">
        <v>7</v>
      </c>
      <c r="C226" s="1">
        <v>351.93</v>
      </c>
      <c r="D226" s="30">
        <v>0.13000999999999999</v>
      </c>
      <c r="E226" s="25"/>
      <c r="F226" s="25"/>
      <c r="H226" s="16"/>
      <c r="K226">
        <v>20</v>
      </c>
      <c r="L226" s="20">
        <f>D226-I72</f>
        <v>0.13000999999999999</v>
      </c>
      <c r="M226" s="25"/>
      <c r="N226" s="25"/>
      <c r="T226">
        <v>20</v>
      </c>
      <c r="U226">
        <f t="shared" si="23"/>
        <v>23.298657817922258</v>
      </c>
      <c r="X226" s="9" t="s">
        <v>7</v>
      </c>
      <c r="Y226" s="11">
        <v>6.8928799999999999</v>
      </c>
      <c r="AA226">
        <v>1235.25</v>
      </c>
      <c r="AG226" s="9" t="s">
        <v>7</v>
      </c>
      <c r="AH226">
        <v>35.72</v>
      </c>
      <c r="AI226">
        <f>AH226/100</f>
        <v>0.35719999999999996</v>
      </c>
    </row>
    <row r="227" spans="1:35" x14ac:dyDescent="0.3">
      <c r="A227" s="15"/>
      <c r="B227" s="1"/>
      <c r="C227" s="1">
        <v>295.22000000000003</v>
      </c>
      <c r="D227" s="30">
        <v>7.9460000000000003E-2</v>
      </c>
      <c r="E227" s="25"/>
      <c r="F227" s="25"/>
      <c r="H227" s="16"/>
      <c r="L227" s="20">
        <f t="shared" ref="L227:L239" si="27">D227-I73</f>
        <v>7.9460000000000003E-2</v>
      </c>
      <c r="M227" s="25"/>
      <c r="N227" s="25"/>
      <c r="U227">
        <f t="shared" si="23"/>
        <v>24.055330490405119</v>
      </c>
      <c r="X227" s="9"/>
      <c r="Y227" s="11">
        <v>4.0803000000000003</v>
      </c>
      <c r="AA227">
        <v>1235.25</v>
      </c>
      <c r="AG227" s="9"/>
      <c r="AH227">
        <v>18.47</v>
      </c>
      <c r="AI227">
        <f t="shared" ref="AI227:AI253" si="28">AH227/100</f>
        <v>0.18469999999999998</v>
      </c>
    </row>
    <row r="228" spans="1:35" x14ac:dyDescent="0.3">
      <c r="A228" s="15"/>
      <c r="B228" s="1" t="s">
        <v>8</v>
      </c>
      <c r="C228" s="1">
        <v>609.32000000000005</v>
      </c>
      <c r="D228" s="30">
        <v>9.3380000000000005E-2</v>
      </c>
      <c r="E228" s="25"/>
      <c r="F228" s="25"/>
      <c r="L228" s="20">
        <f t="shared" si="27"/>
        <v>9.3380000000000005E-2</v>
      </c>
      <c r="U228">
        <f t="shared" si="23"/>
        <v>23.655717684214842</v>
      </c>
      <c r="X228" s="9" t="s">
        <v>8</v>
      </c>
      <c r="Y228" s="11">
        <v>4.8761000000000001</v>
      </c>
      <c r="AA228">
        <v>1235.25</v>
      </c>
      <c r="AG228" s="9" t="s">
        <v>8</v>
      </c>
      <c r="AH228">
        <v>45.44</v>
      </c>
      <c r="AI228">
        <f t="shared" si="28"/>
        <v>0.45439999999999997</v>
      </c>
    </row>
    <row r="229" spans="1:35" x14ac:dyDescent="0.3">
      <c r="A229" s="15"/>
      <c r="B229" s="1"/>
      <c r="C229" s="1">
        <v>1764.49</v>
      </c>
      <c r="D229" s="30">
        <v>1.4749999999999999E-2</v>
      </c>
      <c r="E229" s="25"/>
      <c r="F229" s="25"/>
      <c r="L229" s="20">
        <f t="shared" si="27"/>
        <v>1.4749999999999999E-2</v>
      </c>
      <c r="U229">
        <f t="shared" si="23"/>
        <v>23.921980857097839</v>
      </c>
      <c r="X229" s="9"/>
      <c r="Y229" s="11">
        <v>0.76163999999999998</v>
      </c>
      <c r="AA229">
        <v>1235.25</v>
      </c>
      <c r="AG229" s="9"/>
      <c r="AH229">
        <v>15.29</v>
      </c>
      <c r="AI229">
        <f t="shared" si="28"/>
        <v>0.15289999999999998</v>
      </c>
    </row>
    <row r="230" spans="1:35" x14ac:dyDescent="0.3">
      <c r="A230" s="15"/>
      <c r="B230" s="1"/>
      <c r="C230" s="1">
        <v>1120.29</v>
      </c>
      <c r="D230" s="30">
        <v>1.721E-2</v>
      </c>
      <c r="E230" s="25"/>
      <c r="F230" s="25"/>
      <c r="L230" s="20">
        <f t="shared" si="27"/>
        <v>1.721E-2</v>
      </c>
      <c r="U230">
        <f t="shared" si="23"/>
        <v>21.673703930264569</v>
      </c>
      <c r="X230" s="9"/>
      <c r="Y230" s="11">
        <v>0.98085</v>
      </c>
      <c r="AA230">
        <v>1235.25</v>
      </c>
      <c r="AG230" s="9"/>
      <c r="AH230">
        <v>14.9</v>
      </c>
      <c r="AI230">
        <f t="shared" si="28"/>
        <v>0.14899999999999999</v>
      </c>
    </row>
    <row r="231" spans="1:35" x14ac:dyDescent="0.3">
      <c r="A231" s="15"/>
      <c r="B231" s="1" t="s">
        <v>9</v>
      </c>
      <c r="C231" s="1">
        <v>1460.82</v>
      </c>
      <c r="D231" s="31">
        <v>9.49191284E-3</v>
      </c>
      <c r="E231" s="25"/>
      <c r="F231" s="25"/>
      <c r="L231" s="20">
        <f t="shared" si="27"/>
        <v>3.5312718899999998E-3</v>
      </c>
      <c r="X231" s="9" t="s">
        <v>9</v>
      </c>
      <c r="Y231" s="9">
        <v>1.74254</v>
      </c>
      <c r="AA231">
        <v>3545</v>
      </c>
      <c r="AG231" s="9" t="s">
        <v>9</v>
      </c>
      <c r="AH231">
        <v>10.66</v>
      </c>
      <c r="AI231">
        <f t="shared" si="28"/>
        <v>0.1066</v>
      </c>
    </row>
    <row r="232" spans="1:35" x14ac:dyDescent="0.3">
      <c r="A232" s="15"/>
      <c r="B232" s="1" t="s">
        <v>10</v>
      </c>
      <c r="C232" s="1">
        <v>238.63</v>
      </c>
      <c r="D232" s="30">
        <v>0.42687000000000003</v>
      </c>
      <c r="E232" s="25"/>
      <c r="F232" s="26"/>
      <c r="L232" s="20">
        <f t="shared" si="27"/>
        <v>0.42687000000000003</v>
      </c>
      <c r="X232" s="9" t="s">
        <v>10</v>
      </c>
      <c r="Y232" s="11">
        <v>7.7333699999999999</v>
      </c>
      <c r="AA232">
        <v>812.5</v>
      </c>
      <c r="AG232" s="9" t="s">
        <v>10</v>
      </c>
      <c r="AH232">
        <v>43.6</v>
      </c>
      <c r="AI232">
        <f t="shared" si="28"/>
        <v>0.436</v>
      </c>
    </row>
    <row r="233" spans="1:35" x14ac:dyDescent="0.3">
      <c r="A233" s="15"/>
      <c r="B233" s="1" t="s">
        <v>11</v>
      </c>
      <c r="C233" s="1">
        <v>911.21</v>
      </c>
      <c r="D233" s="27">
        <v>7.5020000000000003E-2</v>
      </c>
      <c r="E233" s="25"/>
      <c r="F233" s="25"/>
      <c r="L233" s="20">
        <f t="shared" si="27"/>
        <v>7.5020000000000003E-2</v>
      </c>
      <c r="X233" s="9" t="s">
        <v>11</v>
      </c>
      <c r="Y233" s="11">
        <v>1.39327</v>
      </c>
      <c r="AA233">
        <v>812.5</v>
      </c>
      <c r="AG233" s="9" t="s">
        <v>11</v>
      </c>
      <c r="AH233">
        <v>25.8</v>
      </c>
      <c r="AI233">
        <f t="shared" si="28"/>
        <v>0.25800000000000001</v>
      </c>
    </row>
    <row r="234" spans="1:35" x14ac:dyDescent="0.3">
      <c r="A234" s="15"/>
      <c r="B234" s="1"/>
      <c r="C234" s="1">
        <v>968.97</v>
      </c>
      <c r="D234" s="30">
        <v>4.367E-2</v>
      </c>
      <c r="E234" s="25"/>
      <c r="F234" s="25"/>
      <c r="L234" s="20">
        <f t="shared" si="27"/>
        <v>4.367E-2</v>
      </c>
      <c r="X234" s="9"/>
      <c r="Y234" s="11">
        <v>0.80701000000000001</v>
      </c>
      <c r="AA234">
        <v>812.5</v>
      </c>
      <c r="AG234" s="9"/>
      <c r="AH234">
        <v>15.8</v>
      </c>
      <c r="AI234">
        <f t="shared" si="28"/>
        <v>0.158</v>
      </c>
    </row>
    <row r="235" spans="1:35" x14ac:dyDescent="0.3">
      <c r="A235" s="15"/>
      <c r="B235" s="1"/>
      <c r="C235" s="1">
        <v>338.32</v>
      </c>
      <c r="D235" s="30">
        <v>7.6660000000000006E-2</v>
      </c>
      <c r="E235" s="25"/>
      <c r="F235" s="20"/>
      <c r="L235" s="20">
        <f t="shared" si="27"/>
        <v>7.6660000000000006E-2</v>
      </c>
      <c r="X235" s="9"/>
      <c r="Y235" s="11">
        <v>1.42353</v>
      </c>
      <c r="AA235">
        <v>812.5</v>
      </c>
      <c r="AG235" s="9"/>
      <c r="AH235">
        <v>11.27</v>
      </c>
      <c r="AI235">
        <f t="shared" si="28"/>
        <v>0.11269999999999999</v>
      </c>
    </row>
    <row r="236" spans="1:35" x14ac:dyDescent="0.3">
      <c r="A236" s="15"/>
      <c r="B236" s="1" t="s">
        <v>12</v>
      </c>
      <c r="C236" s="1">
        <v>2614.5300000000002</v>
      </c>
      <c r="D236" s="30">
        <v>4.3700000000000003E-2</v>
      </c>
      <c r="E236" s="25"/>
      <c r="F236" s="25"/>
      <c r="L236" s="20">
        <f t="shared" si="27"/>
        <v>4.3700000000000003E-2</v>
      </c>
      <c r="U236">
        <f t="shared" si="23"/>
        <v>50.694969945316188</v>
      </c>
      <c r="X236" s="9" t="s">
        <v>12</v>
      </c>
      <c r="Y236" s="11">
        <v>0.70038999999999996</v>
      </c>
      <c r="AA236">
        <v>812.5</v>
      </c>
      <c r="AG236" s="9" t="s">
        <v>12</v>
      </c>
      <c r="AH236">
        <v>99.754000000000005</v>
      </c>
      <c r="AI236">
        <f t="shared" si="28"/>
        <v>0.99754000000000009</v>
      </c>
    </row>
    <row r="237" spans="1:35" x14ac:dyDescent="0.3">
      <c r="A237" s="15"/>
      <c r="B237" s="1"/>
      <c r="C237" s="1">
        <v>583.19000000000005</v>
      </c>
      <c r="D237" s="30">
        <v>0.11695</v>
      </c>
      <c r="E237" s="25"/>
      <c r="F237" s="25"/>
      <c r="L237" s="20">
        <f t="shared" si="27"/>
        <v>0.11695</v>
      </c>
      <c r="U237">
        <f t="shared" si="23"/>
        <v>44.051363655328757</v>
      </c>
      <c r="X237" s="9"/>
      <c r="Y237" s="9">
        <v>2.15707</v>
      </c>
      <c r="AA237">
        <v>812.5</v>
      </c>
      <c r="AG237" s="9"/>
      <c r="AH237">
        <v>85</v>
      </c>
      <c r="AI237">
        <f t="shared" si="28"/>
        <v>0.85</v>
      </c>
    </row>
    <row r="238" spans="1:35" x14ac:dyDescent="0.3">
      <c r="A238" s="15"/>
      <c r="B238" s="1"/>
      <c r="C238" s="1">
        <v>510.77</v>
      </c>
      <c r="D238" s="30">
        <v>5.9040000000000002E-2</v>
      </c>
      <c r="E238" s="25"/>
      <c r="F238" s="25"/>
      <c r="L238" s="20">
        <f t="shared" si="27"/>
        <v>5.9040000000000002E-2</v>
      </c>
      <c r="U238">
        <f t="shared" si="23"/>
        <v>71.302228101728687</v>
      </c>
      <c r="X238" s="9"/>
      <c r="Y238" s="11">
        <v>0.67276999999999998</v>
      </c>
      <c r="AA238">
        <v>812.5</v>
      </c>
      <c r="AG238" s="9"/>
      <c r="AH238">
        <v>22.6</v>
      </c>
      <c r="AI238">
        <f t="shared" si="28"/>
        <v>0.22600000000000001</v>
      </c>
    </row>
    <row r="239" spans="1:35" x14ac:dyDescent="0.3">
      <c r="A239" s="15"/>
      <c r="B239" s="1"/>
      <c r="C239" s="1">
        <v>860.56</v>
      </c>
      <c r="D239" s="30">
        <v>1.2710000000000001E-2</v>
      </c>
      <c r="E239" s="25"/>
      <c r="F239" s="25"/>
      <c r="L239" s="20">
        <f t="shared" si="27"/>
        <v>1.2710000000000001E-2</v>
      </c>
      <c r="U239">
        <f t="shared" si="23"/>
        <v>42.21598806311831</v>
      </c>
      <c r="X239" s="9"/>
      <c r="Y239" s="11">
        <v>0.24462</v>
      </c>
      <c r="AA239">
        <v>812.5</v>
      </c>
      <c r="AG239" s="9"/>
      <c r="AH239">
        <v>12.5</v>
      </c>
      <c r="AI239">
        <f t="shared" si="28"/>
        <v>0.125</v>
      </c>
    </row>
    <row r="240" spans="1:35" x14ac:dyDescent="0.3">
      <c r="A240" s="15">
        <v>21</v>
      </c>
      <c r="B240" s="1" t="s">
        <v>7</v>
      </c>
      <c r="C240" s="1">
        <v>351.93</v>
      </c>
      <c r="D240" s="30">
        <v>2.6600100000000002</v>
      </c>
      <c r="E240" s="25"/>
      <c r="F240" s="25"/>
      <c r="K240">
        <v>21</v>
      </c>
      <c r="L240" s="26">
        <f>D240-I72</f>
        <v>2.6600100000000002</v>
      </c>
      <c r="T240">
        <v>21</v>
      </c>
      <c r="U240">
        <f t="shared" si="23"/>
        <v>476.69150667065145</v>
      </c>
      <c r="X240" s="9" t="s">
        <v>7</v>
      </c>
      <c r="Y240" s="11">
        <v>6.8928799999999999</v>
      </c>
      <c r="AA240">
        <v>1235.25</v>
      </c>
      <c r="AG240" s="9" t="s">
        <v>7</v>
      </c>
      <c r="AH240">
        <v>35.72</v>
      </c>
      <c r="AI240">
        <f>AH240/100</f>
        <v>0.35719999999999996</v>
      </c>
    </row>
    <row r="241" spans="1:35" x14ac:dyDescent="0.3">
      <c r="A241" s="15"/>
      <c r="B241" s="1"/>
      <c r="C241" s="1">
        <v>295.22000000000003</v>
      </c>
      <c r="D241" s="30">
        <v>1.56043</v>
      </c>
      <c r="E241" s="25"/>
      <c r="F241" s="25"/>
      <c r="L241" s="26">
        <f t="shared" ref="L241:L253" si="29">D241-I73</f>
        <v>1.56043</v>
      </c>
      <c r="U241">
        <f t="shared" si="23"/>
        <v>472.39692118226594</v>
      </c>
      <c r="X241" s="9"/>
      <c r="Y241" s="11">
        <v>4.0803000000000003</v>
      </c>
      <c r="AA241">
        <v>1235.25</v>
      </c>
      <c r="AG241" s="9"/>
      <c r="AH241">
        <v>18.47</v>
      </c>
      <c r="AI241">
        <f t="shared" si="28"/>
        <v>0.18469999999999998</v>
      </c>
    </row>
    <row r="242" spans="1:35" x14ac:dyDescent="0.3">
      <c r="A242" s="15"/>
      <c r="B242" s="1" t="s">
        <v>8</v>
      </c>
      <c r="C242" s="1">
        <v>609.32000000000005</v>
      </c>
      <c r="D242" s="30">
        <v>1.9222699999999999</v>
      </c>
      <c r="E242" s="18"/>
      <c r="F242" s="18"/>
      <c r="L242" s="26">
        <f t="shared" si="29"/>
        <v>1.9222699999999999</v>
      </c>
      <c r="U242">
        <f t="shared" si="23"/>
        <v>486.9637656118619</v>
      </c>
      <c r="X242" s="9" t="s">
        <v>8</v>
      </c>
      <c r="Y242" s="11">
        <v>4.8761000000000001</v>
      </c>
      <c r="AA242">
        <v>1235.25</v>
      </c>
      <c r="AG242" s="9" t="s">
        <v>8</v>
      </c>
      <c r="AH242">
        <v>45.44</v>
      </c>
      <c r="AI242">
        <f t="shared" si="28"/>
        <v>0.45439999999999997</v>
      </c>
    </row>
    <row r="243" spans="1:35" x14ac:dyDescent="0.3">
      <c r="A243" s="15"/>
      <c r="B243" s="1"/>
      <c r="C243" s="1">
        <v>1764.49</v>
      </c>
      <c r="D243" s="30">
        <v>0.30471999999999999</v>
      </c>
      <c r="E243" s="18"/>
      <c r="F243" s="18"/>
      <c r="L243" s="26">
        <f t="shared" si="29"/>
        <v>0.30471999999999999</v>
      </c>
      <c r="U243">
        <f t="shared" si="23"/>
        <v>494.20379706948165</v>
      </c>
      <c r="X243" s="9"/>
      <c r="Y243" s="11">
        <v>0.76163999999999998</v>
      </c>
      <c r="AA243">
        <v>1235.25</v>
      </c>
      <c r="AG243" s="9"/>
      <c r="AH243">
        <v>15.29</v>
      </c>
      <c r="AI243">
        <f t="shared" si="28"/>
        <v>0.15289999999999998</v>
      </c>
    </row>
    <row r="244" spans="1:35" x14ac:dyDescent="0.3">
      <c r="A244" s="15"/>
      <c r="B244" s="1"/>
      <c r="C244" s="1">
        <v>1120.29</v>
      </c>
      <c r="D244" s="30">
        <v>0.39689000000000002</v>
      </c>
      <c r="E244" s="18"/>
      <c r="F244" s="18"/>
      <c r="L244" s="26">
        <f t="shared" si="29"/>
        <v>0.39689000000000002</v>
      </c>
      <c r="U244">
        <f t="shared" si="23"/>
        <v>499.83011928429426</v>
      </c>
      <c r="X244" s="9"/>
      <c r="Y244" s="11">
        <v>0.98085</v>
      </c>
      <c r="AA244">
        <v>1235.25</v>
      </c>
      <c r="AG244" s="9"/>
      <c r="AH244">
        <v>14.9</v>
      </c>
      <c r="AI244">
        <f t="shared" si="28"/>
        <v>0.14899999999999999</v>
      </c>
    </row>
    <row r="245" spans="1:35" x14ac:dyDescent="0.3">
      <c r="A245" s="15"/>
      <c r="B245" s="1" t="s">
        <v>9</v>
      </c>
      <c r="C245" s="1">
        <v>1460.82</v>
      </c>
      <c r="D245" s="30">
        <v>4.061E-2</v>
      </c>
      <c r="E245" s="25"/>
      <c r="F245" s="25"/>
      <c r="L245" s="26">
        <f t="shared" si="29"/>
        <v>3.4649359050000002E-2</v>
      </c>
      <c r="X245" s="9" t="s">
        <v>9</v>
      </c>
      <c r="Y245" s="9">
        <v>1.74254</v>
      </c>
      <c r="AA245">
        <v>3545</v>
      </c>
      <c r="AG245" s="9" t="s">
        <v>9</v>
      </c>
      <c r="AH245">
        <v>10.66</v>
      </c>
      <c r="AI245">
        <f t="shared" si="28"/>
        <v>0.1066</v>
      </c>
    </row>
    <row r="246" spans="1:35" x14ac:dyDescent="0.3">
      <c r="A246" s="15"/>
      <c r="B246" s="1" t="s">
        <v>10</v>
      </c>
      <c r="C246" s="1">
        <v>238.63</v>
      </c>
      <c r="D246" s="30">
        <v>7.4075899999999999</v>
      </c>
      <c r="E246" s="25"/>
      <c r="F246" s="25"/>
      <c r="L246" s="26">
        <f t="shared" si="29"/>
        <v>7.4075899999999999</v>
      </c>
      <c r="X246" s="9" t="s">
        <v>10</v>
      </c>
      <c r="Y246" s="11">
        <v>7.7333699999999999</v>
      </c>
      <c r="AA246">
        <v>812.5</v>
      </c>
      <c r="AG246" s="9" t="s">
        <v>10</v>
      </c>
      <c r="AH246">
        <v>43.6</v>
      </c>
      <c r="AI246">
        <f t="shared" si="28"/>
        <v>0.436</v>
      </c>
    </row>
    <row r="247" spans="1:35" x14ac:dyDescent="0.3">
      <c r="A247" s="15"/>
      <c r="B247" s="1" t="s">
        <v>11</v>
      </c>
      <c r="C247" s="1">
        <v>911.21</v>
      </c>
      <c r="D247" s="30">
        <v>1.75589</v>
      </c>
      <c r="E247" s="25"/>
      <c r="F247" s="25"/>
      <c r="L247" s="26">
        <f t="shared" si="29"/>
        <v>1.75589</v>
      </c>
      <c r="X247" s="9" t="s">
        <v>11</v>
      </c>
      <c r="Y247" s="11">
        <v>1.39327</v>
      </c>
      <c r="AA247">
        <v>812.5</v>
      </c>
      <c r="AG247" s="9" t="s">
        <v>11</v>
      </c>
      <c r="AH247">
        <v>25.8</v>
      </c>
      <c r="AI247">
        <f t="shared" si="28"/>
        <v>0.25800000000000001</v>
      </c>
    </row>
    <row r="248" spans="1:35" x14ac:dyDescent="0.3">
      <c r="A248" s="15"/>
      <c r="B248" s="1"/>
      <c r="C248" s="1">
        <v>968.97</v>
      </c>
      <c r="D248" s="30">
        <v>1.00444</v>
      </c>
      <c r="E248" s="18"/>
      <c r="F248" s="18"/>
      <c r="L248" s="26">
        <f t="shared" si="29"/>
        <v>1.00444</v>
      </c>
      <c r="X248" s="9"/>
      <c r="Y248" s="11">
        <v>0.80701000000000001</v>
      </c>
      <c r="AA248">
        <v>812.5</v>
      </c>
      <c r="AG248" s="9"/>
      <c r="AH248">
        <v>15.8</v>
      </c>
      <c r="AI248">
        <f t="shared" si="28"/>
        <v>0.158</v>
      </c>
    </row>
    <row r="249" spans="1:35" x14ac:dyDescent="0.3">
      <c r="A249" s="15"/>
      <c r="B249" s="1"/>
      <c r="C249" s="1">
        <v>338.32</v>
      </c>
      <c r="D249" s="30">
        <v>1.7119899999999999</v>
      </c>
      <c r="E249" s="18"/>
      <c r="F249" s="18"/>
      <c r="L249" s="26">
        <f t="shared" si="29"/>
        <v>1.7119899999999999</v>
      </c>
      <c r="X249" s="9"/>
      <c r="Y249" s="11">
        <v>1.42353</v>
      </c>
      <c r="AA249">
        <v>812.5</v>
      </c>
      <c r="AG249" s="9"/>
      <c r="AH249">
        <v>11.27</v>
      </c>
      <c r="AI249">
        <f t="shared" si="28"/>
        <v>0.11269999999999999</v>
      </c>
    </row>
    <row r="250" spans="1:35" x14ac:dyDescent="0.3">
      <c r="A250" s="15"/>
      <c r="B250" s="1" t="s">
        <v>12</v>
      </c>
      <c r="C250" s="1">
        <v>2614.5300000000002</v>
      </c>
      <c r="D250" s="30">
        <v>0.89807000000000003</v>
      </c>
      <c r="E250" s="18"/>
      <c r="F250" s="18"/>
      <c r="L250" s="26">
        <f t="shared" si="29"/>
        <v>0.89807000000000003</v>
      </c>
      <c r="U250">
        <f t="shared" si="23"/>
        <v>1041.8222347549224</v>
      </c>
      <c r="X250" s="9" t="s">
        <v>12</v>
      </c>
      <c r="Y250" s="11">
        <v>0.70038999999999996</v>
      </c>
      <c r="AA250">
        <v>812.5</v>
      </c>
      <c r="AG250" s="9" t="s">
        <v>12</v>
      </c>
      <c r="AH250">
        <v>99.754000000000005</v>
      </c>
      <c r="AI250">
        <f t="shared" si="28"/>
        <v>0.99754000000000009</v>
      </c>
    </row>
    <row r="251" spans="1:35" x14ac:dyDescent="0.3">
      <c r="A251" s="15"/>
      <c r="B251" s="1"/>
      <c r="C251" s="1">
        <v>583.19000000000005</v>
      </c>
      <c r="D251" s="30">
        <v>2.6323400000000001</v>
      </c>
      <c r="E251" s="18"/>
      <c r="F251" s="18"/>
      <c r="L251" s="26">
        <f t="shared" si="29"/>
        <v>2.6323400000000001</v>
      </c>
      <c r="U251">
        <f t="shared" si="23"/>
        <v>991.51916720366069</v>
      </c>
      <c r="X251" s="9"/>
      <c r="Y251" s="9">
        <v>2.15707</v>
      </c>
      <c r="AA251">
        <v>812.5</v>
      </c>
      <c r="AG251" s="9"/>
      <c r="AH251">
        <v>85</v>
      </c>
      <c r="AI251">
        <f t="shared" si="28"/>
        <v>0.85</v>
      </c>
    </row>
    <row r="252" spans="1:35" x14ac:dyDescent="0.3">
      <c r="A252" s="15"/>
      <c r="B252" s="1"/>
      <c r="C252" s="1">
        <v>510.77</v>
      </c>
      <c r="D252" s="30">
        <v>0.85465000000000002</v>
      </c>
      <c r="E252" s="25"/>
      <c r="F252" s="25"/>
      <c r="L252" s="26">
        <f t="shared" si="29"/>
        <v>0.85465000000000002</v>
      </c>
      <c r="U252">
        <f t="shared" si="23"/>
        <v>1032.1553056765313</v>
      </c>
      <c r="X252" s="9"/>
      <c r="Y252" s="11">
        <v>0.67276999999999998</v>
      </c>
      <c r="AA252">
        <v>812.5</v>
      </c>
      <c r="AG252" s="9"/>
      <c r="AH252">
        <v>22.6</v>
      </c>
      <c r="AI252">
        <f t="shared" si="28"/>
        <v>0.22600000000000001</v>
      </c>
    </row>
    <row r="253" spans="1:35" x14ac:dyDescent="0.3">
      <c r="A253" s="15"/>
      <c r="B253" s="1"/>
      <c r="C253" s="1">
        <v>860.56</v>
      </c>
      <c r="D253" s="30">
        <v>0.30096000000000001</v>
      </c>
      <c r="E253" s="18"/>
      <c r="F253" s="18"/>
      <c r="L253" s="26">
        <f t="shared" si="29"/>
        <v>0.30096000000000001</v>
      </c>
      <c r="U253">
        <f t="shared" si="23"/>
        <v>999.63208241353937</v>
      </c>
      <c r="X253" s="9"/>
      <c r="Y253" s="11">
        <v>0.24462</v>
      </c>
      <c r="AA253">
        <v>812.5</v>
      </c>
      <c r="AG253" s="9"/>
      <c r="AH253">
        <v>12.5</v>
      </c>
      <c r="AI253">
        <f t="shared" si="28"/>
        <v>0.125</v>
      </c>
    </row>
    <row r="254" spans="1:35" x14ac:dyDescent="0.3">
      <c r="A254" s="21">
        <v>22</v>
      </c>
      <c r="B254" s="1" t="s">
        <v>7</v>
      </c>
      <c r="C254" s="1">
        <v>351.93</v>
      </c>
      <c r="D254" s="30">
        <v>3.1896800000000001</v>
      </c>
      <c r="E254" s="18"/>
      <c r="F254" s="18"/>
      <c r="K254">
        <v>22</v>
      </c>
      <c r="L254" s="26">
        <f>D254-I86</f>
        <v>3.18684610711</v>
      </c>
      <c r="T254">
        <v>22</v>
      </c>
      <c r="U254">
        <f t="shared" si="23"/>
        <v>571.10404559598135</v>
      </c>
      <c r="X254" s="9" t="s">
        <v>7</v>
      </c>
      <c r="Y254" s="11">
        <v>6.8928799999999999</v>
      </c>
      <c r="AA254">
        <v>1235.25</v>
      </c>
      <c r="AG254" s="9" t="s">
        <v>7</v>
      </c>
      <c r="AH254">
        <v>35.72</v>
      </c>
      <c r="AI254">
        <f>AH254/100</f>
        <v>0.35719999999999996</v>
      </c>
    </row>
    <row r="255" spans="1:35" x14ac:dyDescent="0.3">
      <c r="A255" s="15" t="s">
        <v>27</v>
      </c>
      <c r="B255" s="1"/>
      <c r="C255" s="1">
        <v>295.22000000000003</v>
      </c>
      <c r="D255" s="30">
        <v>1.8618699999999999</v>
      </c>
      <c r="E255" s="25"/>
      <c r="F255" s="18"/>
      <c r="L255" s="26">
        <f t="shared" ref="L255:L267" si="30">D255-I87</f>
        <v>1.8618699999999999</v>
      </c>
      <c r="U255">
        <f t="shared" si="23"/>
        <v>563.65338761855742</v>
      </c>
      <c r="X255" s="9"/>
      <c r="Y255" s="11">
        <v>4.0803000000000003</v>
      </c>
      <c r="AA255">
        <v>1235.25</v>
      </c>
      <c r="AG255" s="9"/>
      <c r="AH255">
        <v>18.47</v>
      </c>
      <c r="AI255">
        <f t="shared" ref="AI255:AI281" si="31">AH255/100</f>
        <v>0.18469999999999998</v>
      </c>
    </row>
    <row r="256" spans="1:35" x14ac:dyDescent="0.3">
      <c r="A256" s="15" t="s">
        <v>26</v>
      </c>
      <c r="B256" s="1" t="s">
        <v>8</v>
      </c>
      <c r="C256" s="1">
        <v>609.32000000000005</v>
      </c>
      <c r="D256" s="30">
        <v>2.3043499999999999</v>
      </c>
      <c r="E256" s="18"/>
      <c r="F256" s="18"/>
      <c r="H256" s="16"/>
      <c r="L256" s="26">
        <f t="shared" si="30"/>
        <v>2.3043499999999999</v>
      </c>
      <c r="M256" s="18"/>
      <c r="N256" s="18"/>
      <c r="U256">
        <f t="shared" si="23"/>
        <v>583.75511935768338</v>
      </c>
      <c r="X256" s="9" t="s">
        <v>8</v>
      </c>
      <c r="Y256" s="11">
        <v>4.8761000000000001</v>
      </c>
      <c r="AA256">
        <v>1235.25</v>
      </c>
      <c r="AG256" s="9" t="s">
        <v>8</v>
      </c>
      <c r="AH256">
        <v>45.44</v>
      </c>
      <c r="AI256">
        <f t="shared" si="31"/>
        <v>0.45439999999999997</v>
      </c>
    </row>
    <row r="257" spans="1:35" x14ac:dyDescent="0.3">
      <c r="A257" s="15" t="s">
        <v>24</v>
      </c>
      <c r="B257" s="1"/>
      <c r="C257" s="1">
        <v>1764.49</v>
      </c>
      <c r="D257" s="30">
        <v>0.36520999999999998</v>
      </c>
      <c r="E257" s="18"/>
      <c r="F257" s="18"/>
      <c r="H257" s="16"/>
      <c r="L257" s="26">
        <f t="shared" si="30"/>
        <v>0.36520999999999998</v>
      </c>
      <c r="M257" s="18"/>
      <c r="N257" s="18"/>
      <c r="U257">
        <f t="shared" si="23"/>
        <v>592.30824602174255</v>
      </c>
      <c r="X257" s="9"/>
      <c r="Y257" s="11">
        <v>0.76163999999999998</v>
      </c>
      <c r="AA257">
        <v>1235.25</v>
      </c>
      <c r="AG257" s="9"/>
      <c r="AH257">
        <v>15.29</v>
      </c>
      <c r="AI257">
        <f t="shared" si="31"/>
        <v>0.15289999999999998</v>
      </c>
    </row>
    <row r="258" spans="1:35" x14ac:dyDescent="0.3">
      <c r="A258" s="15"/>
      <c r="B258" s="1"/>
      <c r="C258" s="1">
        <v>1120.29</v>
      </c>
      <c r="D258" s="29">
        <v>0.48204999999999998</v>
      </c>
      <c r="E258" s="18"/>
      <c r="F258" s="18"/>
      <c r="H258" s="16"/>
      <c r="L258" s="26">
        <f t="shared" si="30"/>
        <v>0.48204999999999998</v>
      </c>
      <c r="M258" s="18"/>
      <c r="N258" s="18"/>
      <c r="U258">
        <f t="shared" si="23"/>
        <v>607.07780241627154</v>
      </c>
      <c r="X258" s="9"/>
      <c r="Y258" s="11">
        <v>0.98085</v>
      </c>
      <c r="AA258">
        <v>1235.25</v>
      </c>
      <c r="AG258" s="9"/>
      <c r="AH258">
        <v>14.9</v>
      </c>
      <c r="AI258">
        <f t="shared" si="31"/>
        <v>0.14899999999999999</v>
      </c>
    </row>
    <row r="259" spans="1:35" x14ac:dyDescent="0.3">
      <c r="A259" s="15"/>
      <c r="B259" s="1" t="s">
        <v>9</v>
      </c>
      <c r="C259" s="1">
        <v>1460.82</v>
      </c>
      <c r="D259" s="33">
        <v>3.2439999999999997E-2</v>
      </c>
      <c r="E259" s="25"/>
      <c r="F259" s="25"/>
      <c r="H259" s="16"/>
      <c r="L259" s="26">
        <f t="shared" si="30"/>
        <v>2.8189409909999998E-2</v>
      </c>
      <c r="M259" s="25"/>
      <c r="N259" s="25"/>
      <c r="X259" s="9" t="s">
        <v>9</v>
      </c>
      <c r="Y259" s="9">
        <v>1.74254</v>
      </c>
      <c r="AA259">
        <v>3545</v>
      </c>
      <c r="AG259" s="9" t="s">
        <v>9</v>
      </c>
      <c r="AH259">
        <v>10.66</v>
      </c>
      <c r="AI259">
        <f t="shared" si="31"/>
        <v>0.1066</v>
      </c>
    </row>
    <row r="260" spans="1:35" x14ac:dyDescent="0.3">
      <c r="A260" s="15"/>
      <c r="B260" s="1" t="s">
        <v>10</v>
      </c>
      <c r="C260" s="1">
        <v>238.63</v>
      </c>
      <c r="D260" s="29">
        <v>9.5065600000000003</v>
      </c>
      <c r="E260" s="25"/>
      <c r="F260" s="25"/>
      <c r="H260" s="16"/>
      <c r="L260" s="26">
        <f t="shared" si="30"/>
        <v>9.5065600000000003</v>
      </c>
      <c r="M260" s="25"/>
      <c r="N260" s="25"/>
      <c r="X260" s="9" t="s">
        <v>10</v>
      </c>
      <c r="Y260" s="11">
        <v>7.7333699999999999</v>
      </c>
      <c r="AA260">
        <v>812.5</v>
      </c>
      <c r="AG260" s="9" t="s">
        <v>10</v>
      </c>
      <c r="AH260">
        <v>43.6</v>
      </c>
      <c r="AI260">
        <f t="shared" si="31"/>
        <v>0.436</v>
      </c>
    </row>
    <row r="261" spans="1:35" x14ac:dyDescent="0.3">
      <c r="A261" s="15"/>
      <c r="B261" s="1" t="s">
        <v>11</v>
      </c>
      <c r="C261" s="1">
        <v>911.21</v>
      </c>
      <c r="D261" s="30">
        <v>1.97001</v>
      </c>
      <c r="E261" s="25"/>
      <c r="F261" s="25"/>
      <c r="H261" s="16"/>
      <c r="L261" s="26">
        <f t="shared" si="30"/>
        <v>1.97001</v>
      </c>
      <c r="M261" s="18"/>
      <c r="N261" s="18"/>
      <c r="X261" s="9" t="s">
        <v>11</v>
      </c>
      <c r="Y261" s="11">
        <v>1.39327</v>
      </c>
      <c r="AA261">
        <v>812.5</v>
      </c>
      <c r="AG261" s="9" t="s">
        <v>11</v>
      </c>
      <c r="AH261">
        <v>25.8</v>
      </c>
      <c r="AI261">
        <f t="shared" si="31"/>
        <v>0.25800000000000001</v>
      </c>
    </row>
    <row r="262" spans="1:35" x14ac:dyDescent="0.3">
      <c r="A262" s="15"/>
      <c r="B262" s="1"/>
      <c r="C262" s="1">
        <v>968.97</v>
      </c>
      <c r="D262" s="29">
        <v>1.15151</v>
      </c>
      <c r="E262" s="18"/>
      <c r="F262" s="18"/>
      <c r="H262" s="16"/>
      <c r="L262" s="26">
        <f t="shared" si="30"/>
        <v>1.15151</v>
      </c>
      <c r="M262" s="18"/>
      <c r="N262" s="18"/>
      <c r="X262" s="9"/>
      <c r="Y262" s="11">
        <v>0.80701000000000001</v>
      </c>
      <c r="AA262">
        <v>812.5</v>
      </c>
      <c r="AG262" s="9"/>
      <c r="AH262">
        <v>15.8</v>
      </c>
      <c r="AI262">
        <f t="shared" si="31"/>
        <v>0.158</v>
      </c>
    </row>
    <row r="263" spans="1:35" x14ac:dyDescent="0.3">
      <c r="A263" s="15"/>
      <c r="B263" s="1"/>
      <c r="C263" s="1">
        <v>338.32</v>
      </c>
      <c r="D263" s="30">
        <v>1.88035</v>
      </c>
      <c r="E263" s="18"/>
      <c r="F263" s="18"/>
      <c r="H263" s="16"/>
      <c r="L263" s="26">
        <f t="shared" si="30"/>
        <v>1.88035</v>
      </c>
      <c r="M263" s="18"/>
      <c r="N263" s="18"/>
      <c r="X263" s="9"/>
      <c r="Y263" s="11">
        <v>1.42353</v>
      </c>
      <c r="AA263">
        <v>812.5</v>
      </c>
      <c r="AG263" s="9"/>
      <c r="AH263">
        <v>11.27</v>
      </c>
      <c r="AI263">
        <f t="shared" si="31"/>
        <v>0.11269999999999999</v>
      </c>
    </row>
    <row r="264" spans="1:35" x14ac:dyDescent="0.3">
      <c r="A264" s="15"/>
      <c r="B264" s="1" t="s">
        <v>12</v>
      </c>
      <c r="C264" s="1">
        <v>2614.5300000000002</v>
      </c>
      <c r="D264" s="30">
        <v>0</v>
      </c>
      <c r="E264" s="18"/>
      <c r="F264" s="18"/>
      <c r="H264" s="16"/>
      <c r="L264" s="26">
        <f t="shared" si="30"/>
        <v>0</v>
      </c>
      <c r="M264" s="18"/>
      <c r="N264" s="18"/>
      <c r="U264">
        <f t="shared" ref="U264:U322" si="32">(L264/Y264)*AA264</f>
        <v>0</v>
      </c>
      <c r="X264" s="9" t="s">
        <v>12</v>
      </c>
      <c r="Y264" s="11">
        <v>0.70038999999999996</v>
      </c>
      <c r="AA264">
        <v>812.5</v>
      </c>
      <c r="AG264" s="9" t="s">
        <v>12</v>
      </c>
      <c r="AH264">
        <v>99.754000000000005</v>
      </c>
      <c r="AI264">
        <f t="shared" si="31"/>
        <v>0.99754000000000009</v>
      </c>
    </row>
    <row r="265" spans="1:35" x14ac:dyDescent="0.3">
      <c r="A265" s="15"/>
      <c r="B265" s="1"/>
      <c r="C265" s="1">
        <v>583.19000000000005</v>
      </c>
      <c r="D265" s="30">
        <v>2.9296899999999999</v>
      </c>
      <c r="E265" s="18"/>
      <c r="F265" s="18"/>
      <c r="H265" s="16"/>
      <c r="L265" s="26">
        <f t="shared" si="30"/>
        <v>2.9296899999999999</v>
      </c>
      <c r="M265" s="18"/>
      <c r="N265" s="18"/>
      <c r="U265">
        <f t="shared" si="32"/>
        <v>1103.5215013884574</v>
      </c>
      <c r="X265" s="9"/>
      <c r="Y265" s="9">
        <v>2.15707</v>
      </c>
      <c r="AA265">
        <v>812.5</v>
      </c>
      <c r="AG265" s="9"/>
      <c r="AH265">
        <v>85</v>
      </c>
      <c r="AI265">
        <f t="shared" si="31"/>
        <v>0.85</v>
      </c>
    </row>
    <row r="266" spans="1:35" x14ac:dyDescent="0.3">
      <c r="A266" s="15"/>
      <c r="B266" s="1"/>
      <c r="C266" s="1">
        <v>510.77</v>
      </c>
      <c r="D266" s="29">
        <v>0.95806000000000002</v>
      </c>
      <c r="E266" s="18"/>
      <c r="F266" s="25"/>
      <c r="H266" s="16"/>
      <c r="L266" s="26">
        <f t="shared" si="30"/>
        <v>0.95806000000000002</v>
      </c>
      <c r="M266" s="18"/>
      <c r="N266" s="25"/>
      <c r="U266">
        <f t="shared" si="32"/>
        <v>1157.0428972754435</v>
      </c>
      <c r="X266" s="9"/>
      <c r="Y266" s="11">
        <v>0.67276999999999998</v>
      </c>
      <c r="AA266">
        <v>812.5</v>
      </c>
      <c r="AG266" s="9"/>
      <c r="AH266">
        <v>22.6</v>
      </c>
      <c r="AI266">
        <f t="shared" si="31"/>
        <v>0.22600000000000001</v>
      </c>
    </row>
    <row r="267" spans="1:35" x14ac:dyDescent="0.3">
      <c r="A267" s="15"/>
      <c r="B267" s="1"/>
      <c r="C267" s="1">
        <v>860.56</v>
      </c>
      <c r="D267" s="30">
        <v>0.33964</v>
      </c>
      <c r="E267" s="18"/>
      <c r="F267" s="18"/>
      <c r="H267" s="16"/>
      <c r="L267" s="26">
        <f t="shared" si="30"/>
        <v>0.33964</v>
      </c>
      <c r="M267" s="18"/>
      <c r="N267" s="18"/>
      <c r="U267">
        <f t="shared" si="32"/>
        <v>1128.1068596190009</v>
      </c>
      <c r="X267" s="9"/>
      <c r="Y267" s="11">
        <v>0.24462</v>
      </c>
      <c r="AA267">
        <v>812.5</v>
      </c>
      <c r="AG267" s="9"/>
      <c r="AH267">
        <v>12.5</v>
      </c>
      <c r="AI267">
        <f t="shared" si="31"/>
        <v>0.125</v>
      </c>
    </row>
    <row r="268" spans="1:35" x14ac:dyDescent="0.3">
      <c r="A268" s="21">
        <v>24</v>
      </c>
      <c r="B268" s="1" t="s">
        <v>7</v>
      </c>
      <c r="C268" s="1">
        <v>351.93</v>
      </c>
      <c r="D268" s="30">
        <v>1.92021</v>
      </c>
      <c r="E268" s="18"/>
      <c r="F268" s="18"/>
      <c r="H268" s="16"/>
      <c r="K268">
        <v>24</v>
      </c>
      <c r="L268" s="25">
        <f>D268-I86</f>
        <v>1.9173761071099999</v>
      </c>
      <c r="M268" s="18"/>
      <c r="N268" s="18"/>
      <c r="T268">
        <v>24</v>
      </c>
      <c r="U268">
        <f t="shared" si="32"/>
        <v>343.60656740109033</v>
      </c>
      <c r="X268" s="9" t="s">
        <v>7</v>
      </c>
      <c r="Y268" s="11">
        <v>6.8928799999999999</v>
      </c>
      <c r="AA268">
        <v>1235.25</v>
      </c>
      <c r="AG268" s="9" t="s">
        <v>7</v>
      </c>
      <c r="AH268">
        <v>35.72</v>
      </c>
      <c r="AI268">
        <f>AH268/100</f>
        <v>0.35719999999999996</v>
      </c>
    </row>
    <row r="269" spans="1:35" x14ac:dyDescent="0.3">
      <c r="A269" s="15" t="s">
        <v>12</v>
      </c>
      <c r="B269" s="1"/>
      <c r="C269" s="1">
        <v>295.22000000000003</v>
      </c>
      <c r="D269" s="30">
        <v>1.13591</v>
      </c>
      <c r="E269" s="25"/>
      <c r="F269" s="18"/>
      <c r="H269" s="16"/>
      <c r="L269" s="25">
        <f t="shared" ref="L269:L281" si="33">D269-I87</f>
        <v>1.13591</v>
      </c>
      <c r="M269" s="25"/>
      <c r="N269" s="18"/>
      <c r="U269">
        <f t="shared" si="32"/>
        <v>343.87981949856623</v>
      </c>
      <c r="X269" s="9"/>
      <c r="Y269" s="11">
        <v>4.0803000000000003</v>
      </c>
      <c r="AA269">
        <v>1235.25</v>
      </c>
      <c r="AG269" s="9"/>
      <c r="AH269">
        <v>18.47</v>
      </c>
      <c r="AI269">
        <f t="shared" si="31"/>
        <v>0.18469999999999998</v>
      </c>
    </row>
    <row r="270" spans="1:35" x14ac:dyDescent="0.3">
      <c r="A270" s="15" t="s">
        <v>23</v>
      </c>
      <c r="B270" s="1" t="s">
        <v>8</v>
      </c>
      <c r="C270" s="1">
        <v>609.32000000000005</v>
      </c>
      <c r="D270" s="30">
        <v>1.3585700000000001</v>
      </c>
      <c r="E270" s="18"/>
      <c r="F270" s="18"/>
      <c r="H270" s="16"/>
      <c r="L270" s="25">
        <f t="shared" si="33"/>
        <v>1.3585700000000001</v>
      </c>
      <c r="M270" s="18"/>
      <c r="N270" s="18"/>
      <c r="U270">
        <f t="shared" si="32"/>
        <v>344.16307961280529</v>
      </c>
      <c r="X270" s="9" t="s">
        <v>8</v>
      </c>
      <c r="Y270" s="11">
        <v>4.8761000000000001</v>
      </c>
      <c r="AA270">
        <v>1235.25</v>
      </c>
      <c r="AG270" s="9" t="s">
        <v>8</v>
      </c>
      <c r="AH270">
        <v>45.44</v>
      </c>
      <c r="AI270">
        <f t="shared" si="31"/>
        <v>0.45439999999999997</v>
      </c>
    </row>
    <row r="271" spans="1:35" x14ac:dyDescent="0.3">
      <c r="A271" s="15" t="s">
        <v>24</v>
      </c>
      <c r="B271" s="1"/>
      <c r="C271" s="1">
        <v>1764.49</v>
      </c>
      <c r="D271" s="33">
        <v>0.21110999999999999</v>
      </c>
      <c r="E271" s="18"/>
      <c r="F271" s="18"/>
      <c r="H271" s="16"/>
      <c r="L271" s="25">
        <f t="shared" si="33"/>
        <v>0.21110999999999999</v>
      </c>
      <c r="M271" s="18"/>
      <c r="N271" s="18"/>
      <c r="U271">
        <f t="shared" si="32"/>
        <v>342.38436466046954</v>
      </c>
      <c r="X271" s="9"/>
      <c r="Y271" s="11">
        <v>0.76163999999999998</v>
      </c>
      <c r="AA271">
        <v>1235.25</v>
      </c>
      <c r="AG271" s="9"/>
      <c r="AH271">
        <v>15.29</v>
      </c>
      <c r="AI271">
        <f t="shared" si="31"/>
        <v>0.15289999999999998</v>
      </c>
    </row>
    <row r="272" spans="1:35" x14ac:dyDescent="0.3">
      <c r="A272" s="15" t="s">
        <v>25</v>
      </c>
      <c r="B272" s="1"/>
      <c r="C272" s="1">
        <v>1120.29</v>
      </c>
      <c r="D272" s="30">
        <v>0.27618999999999999</v>
      </c>
      <c r="E272" s="18"/>
      <c r="F272" s="18"/>
      <c r="H272" s="16"/>
      <c r="L272" s="25">
        <f t="shared" si="33"/>
        <v>0.27618999999999999</v>
      </c>
      <c r="M272" s="18"/>
      <c r="N272" s="18"/>
      <c r="U272">
        <f t="shared" si="32"/>
        <v>347.82453739103835</v>
      </c>
      <c r="X272" s="9"/>
      <c r="Y272" s="11">
        <v>0.98085</v>
      </c>
      <c r="AA272">
        <v>1235.25</v>
      </c>
      <c r="AG272" s="9"/>
      <c r="AH272">
        <v>14.9</v>
      </c>
      <c r="AI272">
        <f t="shared" si="31"/>
        <v>0.14899999999999999</v>
      </c>
    </row>
    <row r="273" spans="1:35" x14ac:dyDescent="0.3">
      <c r="A273" s="15"/>
      <c r="B273" s="1" t="s">
        <v>9</v>
      </c>
      <c r="C273" s="1">
        <v>1460.82</v>
      </c>
      <c r="D273" s="33">
        <v>3.3950000000000001E-2</v>
      </c>
      <c r="E273" s="25"/>
      <c r="F273" s="25"/>
      <c r="H273" s="16"/>
      <c r="L273" s="25">
        <f t="shared" si="33"/>
        <v>2.9699409910000002E-2</v>
      </c>
      <c r="M273" s="25"/>
      <c r="N273" s="25"/>
      <c r="X273" s="9" t="s">
        <v>9</v>
      </c>
      <c r="Y273" s="9">
        <v>1.74254</v>
      </c>
      <c r="AA273">
        <v>3545</v>
      </c>
      <c r="AG273" s="9" t="s">
        <v>9</v>
      </c>
      <c r="AH273">
        <v>10.66</v>
      </c>
      <c r="AI273">
        <f t="shared" si="31"/>
        <v>0.1066</v>
      </c>
    </row>
    <row r="274" spans="1:35" x14ac:dyDescent="0.3">
      <c r="A274" s="15"/>
      <c r="B274" s="1" t="s">
        <v>10</v>
      </c>
      <c r="C274" s="1">
        <v>238.63</v>
      </c>
      <c r="D274" s="29">
        <v>5.9152800000000001</v>
      </c>
      <c r="E274" s="25"/>
      <c r="F274" s="25"/>
      <c r="H274" s="16"/>
      <c r="L274" s="25">
        <f t="shared" si="33"/>
        <v>5.9152800000000001</v>
      </c>
      <c r="M274" s="25"/>
      <c r="N274" s="25"/>
      <c r="X274" s="9" t="s">
        <v>10</v>
      </c>
      <c r="Y274" s="11">
        <v>7.7333699999999999</v>
      </c>
      <c r="AA274">
        <v>812.5</v>
      </c>
      <c r="AG274" s="9" t="s">
        <v>10</v>
      </c>
      <c r="AH274">
        <v>43.6</v>
      </c>
      <c r="AI274">
        <f t="shared" si="31"/>
        <v>0.436</v>
      </c>
    </row>
    <row r="275" spans="1:35" x14ac:dyDescent="0.3">
      <c r="A275" s="15"/>
      <c r="B275" s="1" t="s">
        <v>11</v>
      </c>
      <c r="C275" s="1">
        <v>911.21</v>
      </c>
      <c r="D275" s="30">
        <v>1.13243</v>
      </c>
      <c r="E275" s="25"/>
      <c r="F275" s="25"/>
      <c r="H275" s="16"/>
      <c r="L275" s="25">
        <f t="shared" si="33"/>
        <v>1.13243</v>
      </c>
      <c r="M275" s="18"/>
      <c r="N275" s="18"/>
      <c r="X275" s="9" t="s">
        <v>11</v>
      </c>
      <c r="Y275" s="11">
        <v>1.39327</v>
      </c>
      <c r="AA275">
        <v>812.5</v>
      </c>
      <c r="AG275" s="9" t="s">
        <v>11</v>
      </c>
      <c r="AH275">
        <v>25.8</v>
      </c>
      <c r="AI275">
        <f t="shared" si="31"/>
        <v>0.25800000000000001</v>
      </c>
    </row>
    <row r="276" spans="1:35" x14ac:dyDescent="0.3">
      <c r="A276" s="15"/>
      <c r="B276" s="1"/>
      <c r="C276" s="1">
        <v>968.97</v>
      </c>
      <c r="D276" s="30">
        <v>0.65405999999999997</v>
      </c>
      <c r="E276" s="18"/>
      <c r="F276" s="18"/>
      <c r="H276" s="16"/>
      <c r="L276" s="25">
        <f t="shared" si="33"/>
        <v>0.65405999999999997</v>
      </c>
      <c r="M276" s="18"/>
      <c r="N276" s="18"/>
      <c r="X276" s="9"/>
      <c r="Y276" s="11">
        <v>0.80701000000000001</v>
      </c>
      <c r="AA276">
        <v>812.5</v>
      </c>
      <c r="AG276" s="9"/>
      <c r="AH276">
        <v>15.8</v>
      </c>
      <c r="AI276">
        <f t="shared" si="31"/>
        <v>0.158</v>
      </c>
    </row>
    <row r="277" spans="1:35" x14ac:dyDescent="0.3">
      <c r="A277" s="15"/>
      <c r="B277" s="1"/>
      <c r="C277" s="1">
        <v>338.32</v>
      </c>
      <c r="D277" s="30">
        <v>1.14439</v>
      </c>
      <c r="E277" s="18"/>
      <c r="F277" s="18"/>
      <c r="H277" s="16"/>
      <c r="L277" s="25">
        <f t="shared" si="33"/>
        <v>1.14439</v>
      </c>
      <c r="M277" s="18"/>
      <c r="N277" s="18"/>
      <c r="X277" s="9"/>
      <c r="Y277" s="11">
        <v>1.42353</v>
      </c>
      <c r="AA277">
        <v>812.5</v>
      </c>
      <c r="AG277" s="9"/>
      <c r="AH277">
        <v>11.27</v>
      </c>
      <c r="AI277">
        <f t="shared" si="31"/>
        <v>0.11269999999999999</v>
      </c>
    </row>
    <row r="278" spans="1:35" x14ac:dyDescent="0.3">
      <c r="A278" s="15"/>
      <c r="B278" s="1" t="s">
        <v>12</v>
      </c>
      <c r="C278" s="1">
        <v>2614.5300000000002</v>
      </c>
      <c r="D278" s="30">
        <v>0</v>
      </c>
      <c r="E278" s="25"/>
      <c r="F278" s="25"/>
      <c r="H278" s="16"/>
      <c r="L278" s="25">
        <f t="shared" si="33"/>
        <v>0</v>
      </c>
      <c r="M278" s="25"/>
      <c r="N278" s="25"/>
      <c r="U278">
        <f t="shared" si="32"/>
        <v>0</v>
      </c>
      <c r="X278" s="9" t="s">
        <v>12</v>
      </c>
      <c r="Y278" s="11">
        <v>0.70038999999999996</v>
      </c>
      <c r="AA278">
        <v>812.5</v>
      </c>
      <c r="AG278" s="9" t="s">
        <v>12</v>
      </c>
      <c r="AH278">
        <v>99.754000000000005</v>
      </c>
      <c r="AI278">
        <f t="shared" si="31"/>
        <v>0.99754000000000009</v>
      </c>
    </row>
    <row r="279" spans="1:35" x14ac:dyDescent="0.3">
      <c r="A279" s="15"/>
      <c r="B279" s="1"/>
      <c r="C279" s="1">
        <v>583.19000000000005</v>
      </c>
      <c r="D279" s="30">
        <v>1.7278800000000001</v>
      </c>
      <c r="E279" s="18"/>
      <c r="F279" s="18"/>
      <c r="H279" s="16"/>
      <c r="L279" s="25">
        <f t="shared" si="33"/>
        <v>1.7278800000000001</v>
      </c>
      <c r="M279" s="18"/>
      <c r="N279" s="18"/>
      <c r="U279">
        <f t="shared" si="32"/>
        <v>650.83771041273587</v>
      </c>
      <c r="X279" s="9"/>
      <c r="Y279" s="9">
        <v>2.15707</v>
      </c>
      <c r="AA279">
        <v>812.5</v>
      </c>
      <c r="AG279" s="9"/>
      <c r="AH279">
        <v>85</v>
      </c>
      <c r="AI279">
        <f t="shared" si="31"/>
        <v>0.85</v>
      </c>
    </row>
    <row r="280" spans="1:35" x14ac:dyDescent="0.3">
      <c r="A280" s="15"/>
      <c r="B280" s="1"/>
      <c r="C280" s="1">
        <v>510.77</v>
      </c>
      <c r="D280" s="30">
        <v>0.54161000000000004</v>
      </c>
      <c r="E280" s="25"/>
      <c r="F280" s="25"/>
      <c r="H280" s="16"/>
      <c r="L280" s="25">
        <f t="shared" si="33"/>
        <v>0.54161000000000004</v>
      </c>
      <c r="M280" s="25"/>
      <c r="N280" s="25"/>
      <c r="U280">
        <f t="shared" si="32"/>
        <v>654.09891196099716</v>
      </c>
      <c r="X280" s="9"/>
      <c r="Y280" s="11">
        <v>0.67276999999999998</v>
      </c>
      <c r="AA280">
        <v>812.5</v>
      </c>
      <c r="AG280" s="9"/>
      <c r="AH280">
        <v>22.6</v>
      </c>
      <c r="AI280">
        <f t="shared" si="31"/>
        <v>0.22600000000000001</v>
      </c>
    </row>
    <row r="281" spans="1:35" x14ac:dyDescent="0.3">
      <c r="A281" s="15"/>
      <c r="B281" s="1"/>
      <c r="C281" s="1">
        <v>860.56</v>
      </c>
      <c r="D281" s="30">
        <v>0.19968</v>
      </c>
      <c r="E281" s="18"/>
      <c r="F281" s="18"/>
      <c r="H281" s="16"/>
      <c r="L281" s="25">
        <f t="shared" si="33"/>
        <v>0.19968</v>
      </c>
      <c r="M281" s="18"/>
      <c r="N281" s="18"/>
      <c r="U281">
        <f t="shared" si="32"/>
        <v>663.23276919303407</v>
      </c>
      <c r="X281" s="9"/>
      <c r="Y281" s="11">
        <v>0.24462</v>
      </c>
      <c r="AA281">
        <v>812.5</v>
      </c>
      <c r="AG281" s="9"/>
      <c r="AH281">
        <v>12.5</v>
      </c>
      <c r="AI281">
        <f t="shared" si="31"/>
        <v>0.125</v>
      </c>
    </row>
    <row r="282" spans="1:35" x14ac:dyDescent="0.3">
      <c r="A282" s="21">
        <v>25</v>
      </c>
      <c r="B282" s="1" t="s">
        <v>7</v>
      </c>
      <c r="C282" s="1">
        <v>351.93</v>
      </c>
      <c r="D282" s="30">
        <v>0.31877</v>
      </c>
      <c r="E282" s="25"/>
      <c r="F282" s="18"/>
      <c r="H282" s="16"/>
      <c r="K282">
        <v>25</v>
      </c>
      <c r="L282" s="25">
        <f>D282-I86</f>
        <v>0.31593610710999998</v>
      </c>
      <c r="M282" s="25"/>
      <c r="N282" s="18"/>
      <c r="T282">
        <v>25</v>
      </c>
      <c r="U282">
        <f t="shared" si="32"/>
        <v>56.617854410294029</v>
      </c>
      <c r="X282" s="9" t="s">
        <v>7</v>
      </c>
      <c r="Y282" s="11">
        <v>6.8928799999999999</v>
      </c>
      <c r="AA282">
        <v>1235.25</v>
      </c>
      <c r="AG282" s="9" t="s">
        <v>7</v>
      </c>
      <c r="AH282">
        <v>35.72</v>
      </c>
      <c r="AI282">
        <f>AH282/100</f>
        <v>0.35719999999999996</v>
      </c>
    </row>
    <row r="283" spans="1:35" x14ac:dyDescent="0.3">
      <c r="A283" s="21"/>
      <c r="B283" s="1"/>
      <c r="C283" s="1">
        <v>295.22000000000003</v>
      </c>
      <c r="D283" s="30">
        <v>0.19262000000000001</v>
      </c>
      <c r="E283" s="25"/>
      <c r="F283" s="25"/>
      <c r="H283" s="16"/>
      <c r="L283" s="25">
        <f t="shared" ref="L283:L295" si="34">D283-I87</f>
        <v>0.19262000000000001</v>
      </c>
      <c r="M283" s="25"/>
      <c r="N283" s="25"/>
      <c r="U283">
        <f t="shared" si="32"/>
        <v>58.312833615175357</v>
      </c>
      <c r="X283" s="9"/>
      <c r="Y283" s="11">
        <v>4.0803000000000003</v>
      </c>
      <c r="AA283">
        <v>1235.25</v>
      </c>
      <c r="AG283" s="9"/>
      <c r="AH283">
        <v>18.47</v>
      </c>
      <c r="AI283">
        <f t="shared" ref="AI283:AI309" si="35">AH283/100</f>
        <v>0.18469999999999998</v>
      </c>
    </row>
    <row r="284" spans="1:35" x14ac:dyDescent="0.3">
      <c r="A284" s="21"/>
      <c r="B284" s="1" t="s">
        <v>8</v>
      </c>
      <c r="C284" s="1">
        <v>609.32000000000005</v>
      </c>
      <c r="D284" s="30">
        <v>0.22109000000000001</v>
      </c>
      <c r="E284" s="25"/>
      <c r="F284" s="25"/>
      <c r="H284" s="16"/>
      <c r="L284" s="25">
        <f t="shared" si="34"/>
        <v>0.22109000000000001</v>
      </c>
      <c r="M284" s="25"/>
      <c r="N284" s="25"/>
      <c r="U284">
        <f t="shared" si="32"/>
        <v>56.00816687516663</v>
      </c>
      <c r="X284" s="9" t="s">
        <v>8</v>
      </c>
      <c r="Y284" s="11">
        <v>4.8761000000000001</v>
      </c>
      <c r="AA284">
        <v>1235.25</v>
      </c>
      <c r="AG284" s="9" t="s">
        <v>8</v>
      </c>
      <c r="AH284">
        <v>45.44</v>
      </c>
      <c r="AI284">
        <f t="shared" si="35"/>
        <v>0.45439999999999997</v>
      </c>
    </row>
    <row r="285" spans="1:35" x14ac:dyDescent="0.3">
      <c r="A285" s="21"/>
      <c r="B285" s="1"/>
      <c r="C285" s="1">
        <v>1764.49</v>
      </c>
      <c r="D285" s="33">
        <v>3.5549999999999998E-2</v>
      </c>
      <c r="E285" s="25"/>
      <c r="F285" s="25"/>
      <c r="H285" s="16"/>
      <c r="L285" s="25">
        <f t="shared" si="34"/>
        <v>3.5549999999999998E-2</v>
      </c>
      <c r="M285" s="25"/>
      <c r="N285" s="25"/>
      <c r="U285">
        <f t="shared" si="32"/>
        <v>57.656028438632418</v>
      </c>
      <c r="X285" s="9"/>
      <c r="Y285" s="11">
        <v>0.76163999999999998</v>
      </c>
      <c r="AA285">
        <v>1235.25</v>
      </c>
      <c r="AG285" s="9"/>
      <c r="AH285">
        <v>15.29</v>
      </c>
      <c r="AI285">
        <f t="shared" si="35"/>
        <v>0.15289999999999998</v>
      </c>
    </row>
    <row r="286" spans="1:35" x14ac:dyDescent="0.3">
      <c r="A286" s="21"/>
      <c r="B286" s="1"/>
      <c r="C286" s="1">
        <v>1120.29</v>
      </c>
      <c r="D286" s="30">
        <v>4.4740000000000002E-2</v>
      </c>
      <c r="E286" s="25"/>
      <c r="F286" s="25"/>
      <c r="H286" s="16"/>
      <c r="L286" s="25">
        <f t="shared" si="34"/>
        <v>4.4740000000000002E-2</v>
      </c>
      <c r="M286" s="25"/>
      <c r="N286" s="25"/>
      <c r="U286">
        <f t="shared" si="32"/>
        <v>56.344074017433861</v>
      </c>
      <c r="X286" s="9"/>
      <c r="Y286" s="11">
        <v>0.98085</v>
      </c>
      <c r="AA286">
        <v>1235.25</v>
      </c>
      <c r="AG286" s="9"/>
      <c r="AH286">
        <v>14.9</v>
      </c>
      <c r="AI286">
        <f t="shared" si="35"/>
        <v>0.14899999999999999</v>
      </c>
    </row>
    <row r="287" spans="1:35" x14ac:dyDescent="0.3">
      <c r="A287" s="21"/>
      <c r="B287" s="1" t="s">
        <v>9</v>
      </c>
      <c r="C287" s="1">
        <v>1460.82</v>
      </c>
      <c r="D287" s="30">
        <v>1.6789999999999999E-2</v>
      </c>
      <c r="E287" s="26"/>
      <c r="F287" s="26"/>
      <c r="H287" s="16"/>
      <c r="L287" s="25">
        <f t="shared" si="34"/>
        <v>1.253940991E-2</v>
      </c>
      <c r="X287" s="9" t="s">
        <v>9</v>
      </c>
      <c r="Y287" s="9">
        <v>1.74254</v>
      </c>
      <c r="AA287">
        <v>3545</v>
      </c>
      <c r="AG287" s="9" t="s">
        <v>9</v>
      </c>
      <c r="AH287">
        <v>10.66</v>
      </c>
      <c r="AI287">
        <f t="shared" si="35"/>
        <v>0.1066</v>
      </c>
    </row>
    <row r="288" spans="1:35" x14ac:dyDescent="0.3">
      <c r="A288" s="21"/>
      <c r="B288" s="1" t="s">
        <v>10</v>
      </c>
      <c r="C288" s="1">
        <v>238.63</v>
      </c>
      <c r="D288" s="30">
        <v>0.91869000000000001</v>
      </c>
      <c r="E288" s="25"/>
      <c r="F288" s="25"/>
      <c r="H288" s="16"/>
      <c r="L288" s="25">
        <f t="shared" si="34"/>
        <v>0.91869000000000001</v>
      </c>
      <c r="M288" s="25"/>
      <c r="N288" s="25"/>
      <c r="X288" s="9" t="s">
        <v>10</v>
      </c>
      <c r="Y288" s="11">
        <v>7.7333699999999999</v>
      </c>
      <c r="AA288">
        <v>812.5</v>
      </c>
      <c r="AG288" s="9" t="s">
        <v>10</v>
      </c>
      <c r="AH288">
        <v>43.6</v>
      </c>
      <c r="AI288">
        <f t="shared" si="35"/>
        <v>0.436</v>
      </c>
    </row>
    <row r="289" spans="1:35" x14ac:dyDescent="0.3">
      <c r="A289" s="21"/>
      <c r="B289" s="1" t="s">
        <v>11</v>
      </c>
      <c r="C289" s="1">
        <v>911.21</v>
      </c>
      <c r="D289" s="30">
        <v>0.16797000000000001</v>
      </c>
      <c r="E289" s="25"/>
      <c r="F289" s="25"/>
      <c r="H289" s="16"/>
      <c r="L289" s="25">
        <f t="shared" si="34"/>
        <v>0.16797000000000001</v>
      </c>
      <c r="M289" s="25"/>
      <c r="N289" s="25"/>
      <c r="X289" s="9" t="s">
        <v>11</v>
      </c>
      <c r="Y289" s="11">
        <v>1.39327</v>
      </c>
      <c r="AA289">
        <v>812.5</v>
      </c>
      <c r="AG289" s="9" t="s">
        <v>11</v>
      </c>
      <c r="AH289">
        <v>25.8</v>
      </c>
      <c r="AI289">
        <f t="shared" si="35"/>
        <v>0.25800000000000001</v>
      </c>
    </row>
    <row r="290" spans="1:35" x14ac:dyDescent="0.3">
      <c r="A290" s="21"/>
      <c r="B290" s="1"/>
      <c r="C290" s="1">
        <v>968.97</v>
      </c>
      <c r="D290" s="30">
        <v>9.4689999999999996E-2</v>
      </c>
      <c r="E290" s="18"/>
      <c r="F290" s="18"/>
      <c r="H290" s="16"/>
      <c r="L290" s="25">
        <f t="shared" si="34"/>
        <v>9.4689999999999996E-2</v>
      </c>
      <c r="M290" s="18"/>
      <c r="N290" s="18"/>
      <c r="X290" s="9"/>
      <c r="Y290" s="11">
        <v>0.80701000000000001</v>
      </c>
      <c r="AA290">
        <v>812.5</v>
      </c>
      <c r="AG290" s="9"/>
      <c r="AH290">
        <v>15.8</v>
      </c>
      <c r="AI290">
        <f t="shared" si="35"/>
        <v>0.158</v>
      </c>
    </row>
    <row r="291" spans="1:35" x14ac:dyDescent="0.3">
      <c r="A291" s="21"/>
      <c r="B291" s="1"/>
      <c r="C291" s="1">
        <v>338.32</v>
      </c>
      <c r="D291" s="30">
        <v>0.17052</v>
      </c>
      <c r="E291" s="25"/>
      <c r="F291" s="25"/>
      <c r="H291" s="16"/>
      <c r="L291" s="25">
        <f t="shared" si="34"/>
        <v>0.17052</v>
      </c>
      <c r="M291" s="25"/>
      <c r="N291" s="25"/>
      <c r="X291" s="9"/>
      <c r="Y291" s="11">
        <v>1.42353</v>
      </c>
      <c r="AA291">
        <v>812.5</v>
      </c>
      <c r="AG291" s="9"/>
      <c r="AH291">
        <v>11.27</v>
      </c>
      <c r="AI291">
        <f t="shared" si="35"/>
        <v>0.11269999999999999</v>
      </c>
    </row>
    <row r="292" spans="1:35" x14ac:dyDescent="0.3">
      <c r="A292" s="21"/>
      <c r="B292" s="1" t="s">
        <v>12</v>
      </c>
      <c r="C292" s="1">
        <v>2614.5300000000002</v>
      </c>
      <c r="D292" s="30">
        <v>8.8999999999999996E-2</v>
      </c>
      <c r="E292" s="25"/>
      <c r="F292" s="25"/>
      <c r="H292" s="16"/>
      <c r="L292" s="25">
        <f t="shared" si="34"/>
        <v>8.8999999999999996E-2</v>
      </c>
      <c r="M292" s="25"/>
      <c r="N292" s="25"/>
      <c r="U292">
        <f t="shared" si="32"/>
        <v>103.24604863004897</v>
      </c>
      <c r="X292" s="9" t="s">
        <v>12</v>
      </c>
      <c r="Y292" s="11">
        <v>0.70038999999999996</v>
      </c>
      <c r="AA292">
        <v>812.5</v>
      </c>
      <c r="AG292" s="9" t="s">
        <v>12</v>
      </c>
      <c r="AH292">
        <v>99.754000000000005</v>
      </c>
      <c r="AI292">
        <f t="shared" si="35"/>
        <v>0.99754000000000009</v>
      </c>
    </row>
    <row r="293" spans="1:35" x14ac:dyDescent="0.3">
      <c r="A293" s="15"/>
      <c r="B293" s="1"/>
      <c r="C293" s="1">
        <v>583.19000000000005</v>
      </c>
      <c r="D293" s="30">
        <v>0.26450000000000001</v>
      </c>
      <c r="E293" s="25"/>
      <c r="F293" s="25"/>
      <c r="H293" s="16"/>
      <c r="L293" s="25">
        <f t="shared" si="34"/>
        <v>0.26450000000000001</v>
      </c>
      <c r="M293" s="25"/>
      <c r="N293" s="25"/>
      <c r="U293">
        <f t="shared" si="32"/>
        <v>99.628778852795691</v>
      </c>
      <c r="X293" s="9"/>
      <c r="Y293" s="9">
        <v>2.15707</v>
      </c>
      <c r="AA293">
        <v>812.5</v>
      </c>
      <c r="AG293" s="9"/>
      <c r="AH293">
        <v>85</v>
      </c>
      <c r="AI293">
        <f t="shared" si="35"/>
        <v>0.85</v>
      </c>
    </row>
    <row r="294" spans="1:35" x14ac:dyDescent="0.3">
      <c r="A294" s="15"/>
      <c r="B294" s="1"/>
      <c r="C294" s="1">
        <v>510.77</v>
      </c>
      <c r="D294" s="30">
        <v>0.10242</v>
      </c>
      <c r="E294" s="25"/>
      <c r="F294" s="25"/>
      <c r="H294" s="16"/>
      <c r="L294" s="25">
        <f t="shared" si="34"/>
        <v>0.10242</v>
      </c>
      <c r="M294" s="25"/>
      <c r="N294" s="25"/>
      <c r="U294">
        <f t="shared" si="32"/>
        <v>123.69197496915737</v>
      </c>
      <c r="X294" s="9"/>
      <c r="Y294" s="11">
        <v>0.67276999999999998</v>
      </c>
      <c r="AA294">
        <v>812.5</v>
      </c>
      <c r="AG294" s="9"/>
      <c r="AH294">
        <v>22.6</v>
      </c>
      <c r="AI294">
        <f t="shared" si="35"/>
        <v>0.22600000000000001</v>
      </c>
    </row>
    <row r="295" spans="1:35" x14ac:dyDescent="0.3">
      <c r="A295" s="15"/>
      <c r="B295" s="1"/>
      <c r="C295" s="1">
        <v>860.56</v>
      </c>
      <c r="D295" s="30">
        <v>3.0759999999999999E-2</v>
      </c>
      <c r="E295" s="25"/>
      <c r="F295" s="25"/>
      <c r="H295" s="16"/>
      <c r="L295" s="25">
        <f t="shared" si="34"/>
        <v>3.0759999999999999E-2</v>
      </c>
      <c r="M295" s="25"/>
      <c r="N295" s="25"/>
      <c r="U295">
        <f t="shared" si="32"/>
        <v>102.16866977352628</v>
      </c>
      <c r="X295" s="9"/>
      <c r="Y295" s="11">
        <v>0.24462</v>
      </c>
      <c r="AA295">
        <v>812.5</v>
      </c>
      <c r="AG295" s="9"/>
      <c r="AH295">
        <v>12.5</v>
      </c>
      <c r="AI295">
        <f t="shared" si="35"/>
        <v>0.125</v>
      </c>
    </row>
    <row r="296" spans="1:35" x14ac:dyDescent="0.3">
      <c r="A296" s="21">
        <v>26</v>
      </c>
      <c r="B296" s="1" t="s">
        <v>7</v>
      </c>
      <c r="C296" s="1">
        <v>351.93</v>
      </c>
      <c r="D296" s="33">
        <v>0.29369000000000001</v>
      </c>
      <c r="E296" s="25"/>
      <c r="F296" s="25"/>
      <c r="H296" s="16"/>
      <c r="K296">
        <v>26</v>
      </c>
      <c r="L296" s="25">
        <f>D296-I86</f>
        <v>0.29085610710999998</v>
      </c>
      <c r="M296" s="25"/>
      <c r="N296" s="25"/>
      <c r="T296">
        <v>26</v>
      </c>
      <c r="U296">
        <f t="shared" si="32"/>
        <v>52.123351386884359</v>
      </c>
      <c r="X296" s="9" t="s">
        <v>7</v>
      </c>
      <c r="Y296" s="11">
        <v>6.8928799999999999</v>
      </c>
      <c r="AA296">
        <v>1235.25</v>
      </c>
      <c r="AG296" s="9" t="s">
        <v>7</v>
      </c>
      <c r="AH296">
        <v>35.72</v>
      </c>
      <c r="AI296">
        <f>AH296/100</f>
        <v>0.35719999999999996</v>
      </c>
    </row>
    <row r="297" spans="1:35" x14ac:dyDescent="0.3">
      <c r="A297" s="15"/>
      <c r="B297" s="1"/>
      <c r="C297" s="1">
        <v>295.22000000000003</v>
      </c>
      <c r="D297" s="29">
        <v>0.17172999999999999</v>
      </c>
      <c r="E297" s="25"/>
      <c r="F297" s="25"/>
      <c r="H297" s="16"/>
      <c r="L297" s="25">
        <f t="shared" ref="L297:L309" si="36">D297-I87</f>
        <v>0.17172999999999999</v>
      </c>
      <c r="M297" s="25"/>
      <c r="N297" s="25"/>
      <c r="U297">
        <f t="shared" si="32"/>
        <v>51.988697522241004</v>
      </c>
      <c r="X297" s="9"/>
      <c r="Y297" s="11">
        <v>4.0803000000000003</v>
      </c>
      <c r="AA297">
        <v>1235.25</v>
      </c>
      <c r="AG297" s="9"/>
      <c r="AH297">
        <v>18.47</v>
      </c>
      <c r="AI297">
        <f t="shared" si="35"/>
        <v>0.18469999999999998</v>
      </c>
    </row>
    <row r="298" spans="1:35" x14ac:dyDescent="0.3">
      <c r="A298" s="15"/>
      <c r="B298" s="1" t="s">
        <v>8</v>
      </c>
      <c r="C298" s="1">
        <v>609.32000000000005</v>
      </c>
      <c r="D298" s="30">
        <v>0.21057999999999999</v>
      </c>
      <c r="E298" s="25"/>
      <c r="F298" s="25"/>
      <c r="L298" s="25">
        <f t="shared" si="36"/>
        <v>0.21057999999999999</v>
      </c>
      <c r="U298">
        <f t="shared" si="32"/>
        <v>53.34569533028445</v>
      </c>
      <c r="X298" s="9" t="s">
        <v>8</v>
      </c>
      <c r="Y298" s="11">
        <v>4.8761000000000001</v>
      </c>
      <c r="AA298">
        <v>1235.25</v>
      </c>
      <c r="AG298" s="9" t="s">
        <v>8</v>
      </c>
      <c r="AH298">
        <v>45.44</v>
      </c>
      <c r="AI298">
        <f t="shared" si="35"/>
        <v>0.45439999999999997</v>
      </c>
    </row>
    <row r="299" spans="1:35" x14ac:dyDescent="0.3">
      <c r="A299" s="15"/>
      <c r="B299" s="1"/>
      <c r="C299" s="1">
        <v>1764.49</v>
      </c>
      <c r="D299" s="30">
        <v>3.09E-2</v>
      </c>
      <c r="E299" s="25"/>
      <c r="F299" s="25"/>
      <c r="L299" s="25">
        <f t="shared" si="36"/>
        <v>3.09E-2</v>
      </c>
      <c r="U299">
        <f t="shared" si="32"/>
        <v>50.114522609106672</v>
      </c>
      <c r="X299" s="9"/>
      <c r="Y299" s="11">
        <v>0.76163999999999998</v>
      </c>
      <c r="AA299">
        <v>1235.25</v>
      </c>
      <c r="AG299" s="9"/>
      <c r="AH299">
        <v>15.29</v>
      </c>
      <c r="AI299">
        <f t="shared" si="35"/>
        <v>0.15289999999999998</v>
      </c>
    </row>
    <row r="300" spans="1:35" x14ac:dyDescent="0.3">
      <c r="A300" s="15"/>
      <c r="B300" s="22"/>
      <c r="C300" s="1">
        <v>1120.29</v>
      </c>
      <c r="D300" s="30">
        <v>3.8580000000000003E-2</v>
      </c>
      <c r="E300" s="25"/>
      <c r="F300" s="25"/>
      <c r="L300" s="25">
        <f t="shared" si="36"/>
        <v>3.8580000000000003E-2</v>
      </c>
      <c r="U300">
        <f t="shared" si="32"/>
        <v>48.586374063312441</v>
      </c>
      <c r="X300" s="9"/>
      <c r="Y300" s="11">
        <v>0.98085</v>
      </c>
      <c r="AA300">
        <v>1235.25</v>
      </c>
      <c r="AG300" s="9"/>
      <c r="AH300">
        <v>14.9</v>
      </c>
      <c r="AI300">
        <f t="shared" si="35"/>
        <v>0.14899999999999999</v>
      </c>
    </row>
    <row r="301" spans="1:35" x14ac:dyDescent="0.3">
      <c r="A301" s="15"/>
      <c r="B301" s="1" t="s">
        <v>9</v>
      </c>
      <c r="C301" s="1">
        <v>1460.82</v>
      </c>
      <c r="D301" s="29">
        <v>1.67E-2</v>
      </c>
      <c r="E301" s="25"/>
      <c r="F301" s="25"/>
      <c r="L301" s="25">
        <f t="shared" si="36"/>
        <v>1.2449409910000001E-2</v>
      </c>
      <c r="X301" s="9" t="s">
        <v>9</v>
      </c>
      <c r="Y301" s="9">
        <v>1.74254</v>
      </c>
      <c r="AA301">
        <v>3545</v>
      </c>
      <c r="AG301" s="9" t="s">
        <v>9</v>
      </c>
      <c r="AH301">
        <v>10.66</v>
      </c>
      <c r="AI301">
        <f t="shared" si="35"/>
        <v>0.1066</v>
      </c>
    </row>
    <row r="302" spans="1:35" x14ac:dyDescent="0.3">
      <c r="A302" s="15"/>
      <c r="B302" s="1" t="s">
        <v>10</v>
      </c>
      <c r="C302" s="1">
        <v>238.63</v>
      </c>
      <c r="D302" s="30">
        <v>0.86804999999999999</v>
      </c>
      <c r="E302" s="25"/>
      <c r="F302" s="25"/>
      <c r="L302" s="25">
        <f t="shared" si="36"/>
        <v>0.86804999999999999</v>
      </c>
      <c r="X302" s="9" t="s">
        <v>10</v>
      </c>
      <c r="Y302" s="11">
        <v>7.7333699999999999</v>
      </c>
      <c r="AA302">
        <v>812.5</v>
      </c>
      <c r="AG302" s="9" t="s">
        <v>10</v>
      </c>
      <c r="AH302">
        <v>43.6</v>
      </c>
      <c r="AI302">
        <f t="shared" si="35"/>
        <v>0.436</v>
      </c>
    </row>
    <row r="303" spans="1:35" x14ac:dyDescent="0.3">
      <c r="A303" s="15"/>
      <c r="B303" s="1" t="s">
        <v>11</v>
      </c>
      <c r="C303" s="1">
        <v>911.21</v>
      </c>
      <c r="D303" s="29">
        <v>0.15597</v>
      </c>
      <c r="E303" s="25"/>
      <c r="F303" s="25"/>
      <c r="L303" s="25">
        <f t="shared" si="36"/>
        <v>0.15597</v>
      </c>
      <c r="X303" s="9" t="s">
        <v>11</v>
      </c>
      <c r="Y303" s="11">
        <v>1.39327</v>
      </c>
      <c r="AA303">
        <v>812.5</v>
      </c>
      <c r="AG303" s="9" t="s">
        <v>11</v>
      </c>
      <c r="AH303">
        <v>25.8</v>
      </c>
      <c r="AI303">
        <f t="shared" si="35"/>
        <v>0.25800000000000001</v>
      </c>
    </row>
    <row r="304" spans="1:35" x14ac:dyDescent="0.3">
      <c r="A304" s="15"/>
      <c r="B304" s="1"/>
      <c r="C304" s="1">
        <v>968.97</v>
      </c>
      <c r="D304" s="30">
        <v>9.1740000000000002E-2</v>
      </c>
      <c r="E304" s="18"/>
      <c r="F304" s="18"/>
      <c r="L304" s="25">
        <f t="shared" si="36"/>
        <v>9.1740000000000002E-2</v>
      </c>
      <c r="X304" s="9"/>
      <c r="Y304" s="11">
        <v>0.80701000000000001</v>
      </c>
      <c r="AA304">
        <v>812.5</v>
      </c>
      <c r="AG304" s="9"/>
      <c r="AH304">
        <v>15.8</v>
      </c>
      <c r="AI304">
        <f t="shared" si="35"/>
        <v>0.158</v>
      </c>
    </row>
    <row r="305" spans="1:35" x14ac:dyDescent="0.3">
      <c r="A305" s="15"/>
      <c r="B305" s="1"/>
      <c r="C305" s="1">
        <v>338.32</v>
      </c>
      <c r="D305" s="30">
        <v>0.16497000000000001</v>
      </c>
      <c r="E305" s="25"/>
      <c r="F305" s="25"/>
      <c r="L305" s="25">
        <f t="shared" si="36"/>
        <v>0.16497000000000001</v>
      </c>
      <c r="X305" s="9"/>
      <c r="Y305" s="11">
        <v>1.42353</v>
      </c>
      <c r="AA305">
        <v>812.5</v>
      </c>
      <c r="AG305" s="9"/>
      <c r="AH305">
        <v>11.27</v>
      </c>
      <c r="AI305">
        <f t="shared" si="35"/>
        <v>0.11269999999999999</v>
      </c>
    </row>
    <row r="306" spans="1:35" x14ac:dyDescent="0.3">
      <c r="A306" s="15"/>
      <c r="B306" s="1" t="s">
        <v>12</v>
      </c>
      <c r="C306" s="1">
        <v>2614.5300000000002</v>
      </c>
      <c r="D306" s="29">
        <v>8.4699999999999998E-2</v>
      </c>
      <c r="E306" s="25"/>
      <c r="F306" s="25"/>
      <c r="L306" s="25">
        <f t="shared" si="36"/>
        <v>8.4699999999999998E-2</v>
      </c>
      <c r="U306">
        <f t="shared" si="32"/>
        <v>98.257756392866838</v>
      </c>
      <c r="X306" s="9" t="s">
        <v>12</v>
      </c>
      <c r="Y306" s="11">
        <v>0.70038999999999996</v>
      </c>
      <c r="AA306">
        <v>812.5</v>
      </c>
      <c r="AG306" s="9" t="s">
        <v>12</v>
      </c>
      <c r="AH306">
        <v>99.754000000000005</v>
      </c>
      <c r="AI306">
        <f t="shared" si="35"/>
        <v>0.99754000000000009</v>
      </c>
    </row>
    <row r="307" spans="1:35" x14ac:dyDescent="0.3">
      <c r="A307" s="15"/>
      <c r="B307" s="1"/>
      <c r="C307" s="1">
        <v>583.19000000000005</v>
      </c>
      <c r="D307" s="30">
        <v>0.25091000000000002</v>
      </c>
      <c r="E307" s="25"/>
      <c r="F307" s="25"/>
      <c r="L307" s="25">
        <f t="shared" si="36"/>
        <v>0.25091000000000002</v>
      </c>
      <c r="U307">
        <f t="shared" si="32"/>
        <v>94.509855962022556</v>
      </c>
      <c r="X307" s="9"/>
      <c r="Y307" s="9">
        <v>2.15707</v>
      </c>
      <c r="AA307">
        <v>812.5</v>
      </c>
      <c r="AG307" s="9"/>
      <c r="AH307">
        <v>85</v>
      </c>
      <c r="AI307">
        <f t="shared" si="35"/>
        <v>0.85</v>
      </c>
    </row>
    <row r="308" spans="1:35" x14ac:dyDescent="0.3">
      <c r="A308" s="15"/>
      <c r="B308" s="1"/>
      <c r="C308" s="1">
        <v>510.77</v>
      </c>
      <c r="D308" s="29">
        <v>9.7720000000000001E-2</v>
      </c>
      <c r="E308" s="26"/>
      <c r="F308" s="26"/>
      <c r="L308" s="25">
        <f t="shared" si="36"/>
        <v>9.7720000000000001E-2</v>
      </c>
      <c r="U308">
        <f t="shared" si="32"/>
        <v>118.01581521173657</v>
      </c>
      <c r="X308" s="9"/>
      <c r="Y308" s="11">
        <v>0.67276999999999998</v>
      </c>
      <c r="AA308">
        <v>812.5</v>
      </c>
      <c r="AG308" s="9"/>
      <c r="AH308">
        <v>22.6</v>
      </c>
      <c r="AI308">
        <f t="shared" si="35"/>
        <v>0.22600000000000001</v>
      </c>
    </row>
    <row r="309" spans="1:35" x14ac:dyDescent="0.3">
      <c r="A309" s="15"/>
      <c r="B309" s="1"/>
      <c r="C309" s="1">
        <v>860.56</v>
      </c>
      <c r="D309" s="30">
        <v>2.9409999999999999E-2</v>
      </c>
      <c r="E309" s="25"/>
      <c r="F309" s="25"/>
      <c r="L309" s="25">
        <f t="shared" si="36"/>
        <v>2.9409999999999999E-2</v>
      </c>
      <c r="U309">
        <f t="shared" si="32"/>
        <v>97.684674188537315</v>
      </c>
      <c r="X309" s="9"/>
      <c r="Y309" s="11">
        <v>0.24462</v>
      </c>
      <c r="AA309">
        <v>812.5</v>
      </c>
      <c r="AG309" s="9"/>
      <c r="AH309">
        <v>12.5</v>
      </c>
      <c r="AI309">
        <f t="shared" si="35"/>
        <v>0.125</v>
      </c>
    </row>
    <row r="310" spans="1:35" x14ac:dyDescent="0.3">
      <c r="A310" s="15">
        <v>27</v>
      </c>
      <c r="B310" s="1" t="s">
        <v>7</v>
      </c>
      <c r="C310" s="1">
        <v>351.93</v>
      </c>
      <c r="D310" s="30">
        <v>0.68318999999999996</v>
      </c>
      <c r="E310" s="25"/>
      <c r="F310" s="25"/>
      <c r="K310">
        <v>27</v>
      </c>
      <c r="L310" s="26">
        <f>D310-I100</f>
        <v>0.68067597475999997</v>
      </c>
      <c r="T310">
        <v>27</v>
      </c>
      <c r="U310">
        <f t="shared" si="32"/>
        <v>121.98166772412837</v>
      </c>
      <c r="X310" s="9" t="s">
        <v>7</v>
      </c>
      <c r="Y310" s="11">
        <v>6.8928799999999999</v>
      </c>
      <c r="AA310">
        <v>1235.25</v>
      </c>
      <c r="AG310" s="9" t="s">
        <v>7</v>
      </c>
      <c r="AH310">
        <v>35.72</v>
      </c>
      <c r="AI310">
        <f>AH310/100</f>
        <v>0.35719999999999996</v>
      </c>
    </row>
    <row r="311" spans="1:35" x14ac:dyDescent="0.3">
      <c r="A311" s="15"/>
      <c r="B311" s="1"/>
      <c r="C311" s="1">
        <v>295.22000000000003</v>
      </c>
      <c r="D311" s="30">
        <v>0.40194000000000002</v>
      </c>
      <c r="E311" s="25"/>
      <c r="F311" s="25"/>
      <c r="L311" s="26">
        <f t="shared" ref="L311:L323" si="37">D311-I101</f>
        <v>0.40194000000000002</v>
      </c>
      <c r="U311">
        <f t="shared" si="32"/>
        <v>121.68134328358209</v>
      </c>
      <c r="X311" s="9"/>
      <c r="Y311" s="11">
        <v>4.0803000000000003</v>
      </c>
      <c r="AA311">
        <v>1235.25</v>
      </c>
      <c r="AG311" s="9"/>
      <c r="AH311">
        <v>18.47</v>
      </c>
      <c r="AI311">
        <f t="shared" ref="AI311:AI337" si="38">AH311/100</f>
        <v>0.18469999999999998</v>
      </c>
    </row>
    <row r="312" spans="1:35" x14ac:dyDescent="0.3">
      <c r="A312" s="15"/>
      <c r="B312" s="1" t="s">
        <v>8</v>
      </c>
      <c r="C312" s="1">
        <v>609.32000000000005</v>
      </c>
      <c r="D312" s="30">
        <v>0.47633999999999999</v>
      </c>
      <c r="E312" s="25"/>
      <c r="F312" s="18"/>
      <c r="L312" s="26">
        <f t="shared" si="37"/>
        <v>0.47633999999999999</v>
      </c>
      <c r="U312">
        <f t="shared" si="32"/>
        <v>120.66999958983612</v>
      </c>
      <c r="X312" s="9" t="s">
        <v>8</v>
      </c>
      <c r="Y312" s="11">
        <v>4.8761000000000001</v>
      </c>
      <c r="AA312">
        <v>1235.25</v>
      </c>
      <c r="AG312" s="9" t="s">
        <v>8</v>
      </c>
      <c r="AH312">
        <v>45.44</v>
      </c>
      <c r="AI312">
        <f t="shared" si="38"/>
        <v>0.45439999999999997</v>
      </c>
    </row>
    <row r="313" spans="1:35" x14ac:dyDescent="0.3">
      <c r="A313" s="15"/>
      <c r="B313" s="1"/>
      <c r="C313" s="1">
        <v>1764.49</v>
      </c>
      <c r="D313" s="30">
        <v>7.0529999999999995E-2</v>
      </c>
      <c r="E313" s="25"/>
      <c r="F313" s="18"/>
      <c r="L313" s="26">
        <f t="shared" si="37"/>
        <v>7.0529999999999995E-2</v>
      </c>
      <c r="U313">
        <f t="shared" si="32"/>
        <v>114.38761422719395</v>
      </c>
      <c r="X313" s="9"/>
      <c r="Y313" s="11">
        <v>0.76163999999999998</v>
      </c>
      <c r="AA313">
        <v>1235.25</v>
      </c>
      <c r="AG313" s="9"/>
      <c r="AH313">
        <v>15.29</v>
      </c>
      <c r="AI313">
        <f t="shared" si="38"/>
        <v>0.15289999999999998</v>
      </c>
    </row>
    <row r="314" spans="1:35" x14ac:dyDescent="0.3">
      <c r="A314" s="15"/>
      <c r="B314" s="1"/>
      <c r="C314" s="1">
        <v>1120.29</v>
      </c>
      <c r="D314" s="30">
        <v>9.3310000000000004E-2</v>
      </c>
      <c r="E314" s="25"/>
      <c r="F314" s="25"/>
      <c r="L314" s="26">
        <f t="shared" si="37"/>
        <v>9.3310000000000004E-2</v>
      </c>
      <c r="U314">
        <f t="shared" si="32"/>
        <v>117.51152316868023</v>
      </c>
      <c r="X314" s="9"/>
      <c r="Y314" s="11">
        <v>0.98085</v>
      </c>
      <c r="AA314">
        <v>1235.25</v>
      </c>
      <c r="AG314" s="9"/>
      <c r="AH314">
        <v>14.9</v>
      </c>
      <c r="AI314">
        <f t="shared" si="38"/>
        <v>0.14899999999999999</v>
      </c>
    </row>
    <row r="315" spans="1:35" x14ac:dyDescent="0.3">
      <c r="A315" s="15"/>
      <c r="B315" s="1" t="s">
        <v>9</v>
      </c>
      <c r="C315" s="1">
        <v>1460.82</v>
      </c>
      <c r="D315" s="30">
        <v>1.29E-2</v>
      </c>
      <c r="E315" s="25"/>
      <c r="F315" s="25"/>
      <c r="L315" s="26">
        <f t="shared" si="37"/>
        <v>1.069257216E-2</v>
      </c>
      <c r="X315" s="9" t="s">
        <v>9</v>
      </c>
      <c r="Y315" s="9">
        <v>1.74254</v>
      </c>
      <c r="AA315">
        <v>3545</v>
      </c>
      <c r="AG315" s="9" t="s">
        <v>9</v>
      </c>
      <c r="AH315">
        <v>10.66</v>
      </c>
      <c r="AI315">
        <f t="shared" si="38"/>
        <v>0.1066</v>
      </c>
    </row>
    <row r="316" spans="1:35" x14ac:dyDescent="0.3">
      <c r="A316" s="15"/>
      <c r="B316" s="1" t="s">
        <v>10</v>
      </c>
      <c r="C316" s="1">
        <v>238.63</v>
      </c>
      <c r="D316" s="30">
        <v>2.1761900000000001</v>
      </c>
      <c r="E316" s="25"/>
      <c r="F316" s="25"/>
      <c r="L316" s="26">
        <f t="shared" si="37"/>
        <v>2.1721276683099999</v>
      </c>
      <c r="X316" s="9" t="s">
        <v>10</v>
      </c>
      <c r="Y316" s="11">
        <v>7.7333699999999999</v>
      </c>
      <c r="AA316">
        <v>812.5</v>
      </c>
      <c r="AG316" s="9" t="s">
        <v>10</v>
      </c>
      <c r="AH316">
        <v>43.6</v>
      </c>
      <c r="AI316">
        <f t="shared" si="38"/>
        <v>0.436</v>
      </c>
    </row>
    <row r="317" spans="1:35" x14ac:dyDescent="0.3">
      <c r="A317" s="15"/>
      <c r="B317" s="1" t="s">
        <v>11</v>
      </c>
      <c r="C317" s="1">
        <v>911.21</v>
      </c>
      <c r="D317" s="30">
        <v>0.44834000000000002</v>
      </c>
      <c r="E317" s="25"/>
      <c r="F317" s="25"/>
      <c r="L317" s="26">
        <f t="shared" si="37"/>
        <v>0.44834000000000002</v>
      </c>
      <c r="X317" s="9" t="s">
        <v>11</v>
      </c>
      <c r="Y317" s="11">
        <v>1.39327</v>
      </c>
      <c r="AA317">
        <v>812.5</v>
      </c>
      <c r="AG317" s="9" t="s">
        <v>11</v>
      </c>
      <c r="AH317">
        <v>25.8</v>
      </c>
      <c r="AI317">
        <f t="shared" si="38"/>
        <v>0.25800000000000001</v>
      </c>
    </row>
    <row r="318" spans="1:35" x14ac:dyDescent="0.3">
      <c r="A318" s="15"/>
      <c r="B318" s="1"/>
      <c r="C318" s="1">
        <v>968.97</v>
      </c>
      <c r="D318" s="30">
        <v>0.26368999999999998</v>
      </c>
      <c r="E318" s="18"/>
      <c r="F318" s="18"/>
      <c r="L318" s="26">
        <f t="shared" si="37"/>
        <v>0.26368999999999998</v>
      </c>
      <c r="X318" s="9"/>
      <c r="Y318" s="11">
        <v>0.80701000000000001</v>
      </c>
      <c r="AA318">
        <v>812.5</v>
      </c>
      <c r="AG318" s="9"/>
      <c r="AH318">
        <v>15.8</v>
      </c>
      <c r="AI318">
        <f t="shared" si="38"/>
        <v>0.158</v>
      </c>
    </row>
    <row r="319" spans="1:35" x14ac:dyDescent="0.3">
      <c r="A319" s="15"/>
      <c r="B319" s="1"/>
      <c r="C319" s="1">
        <v>338.32</v>
      </c>
      <c r="D319" s="30">
        <v>0.47669</v>
      </c>
      <c r="E319" s="25"/>
      <c r="F319" s="25"/>
      <c r="L319" s="26">
        <f t="shared" si="37"/>
        <v>0.47669</v>
      </c>
      <c r="X319" s="9"/>
      <c r="Y319" s="11">
        <v>1.42353</v>
      </c>
      <c r="AA319">
        <v>812.5</v>
      </c>
      <c r="AG319" s="9"/>
      <c r="AH319">
        <v>11.27</v>
      </c>
      <c r="AI319">
        <f t="shared" si="38"/>
        <v>0.11269999999999999</v>
      </c>
    </row>
    <row r="320" spans="1:35" x14ac:dyDescent="0.3">
      <c r="A320" s="15"/>
      <c r="B320" s="1" t="s">
        <v>12</v>
      </c>
      <c r="C320" s="1">
        <v>2614.5300000000002</v>
      </c>
      <c r="D320" s="30">
        <v>0.22566</v>
      </c>
      <c r="E320" s="25"/>
      <c r="F320" s="25"/>
      <c r="L320" s="26">
        <f t="shared" si="37"/>
        <v>0.22386202827000001</v>
      </c>
      <c r="U320">
        <f t="shared" si="32"/>
        <v>259.69516693467216</v>
      </c>
      <c r="X320" s="9" t="s">
        <v>12</v>
      </c>
      <c r="Y320" s="11">
        <v>0.70038999999999996</v>
      </c>
      <c r="AA320">
        <v>812.5</v>
      </c>
      <c r="AG320" s="9" t="s">
        <v>12</v>
      </c>
      <c r="AH320">
        <v>99.754000000000005</v>
      </c>
      <c r="AI320">
        <f t="shared" si="38"/>
        <v>0.99754000000000009</v>
      </c>
    </row>
    <row r="321" spans="1:35" x14ac:dyDescent="0.3">
      <c r="A321" s="15"/>
      <c r="B321" s="1"/>
      <c r="C321" s="1">
        <v>583.19000000000005</v>
      </c>
      <c r="D321" s="30">
        <v>0.68293999999999999</v>
      </c>
      <c r="E321" s="18"/>
      <c r="F321" s="18"/>
      <c r="L321" s="26">
        <f t="shared" si="37"/>
        <v>0.68293999999999999</v>
      </c>
      <c r="U321">
        <f t="shared" si="32"/>
        <v>257.24188366626953</v>
      </c>
      <c r="X321" s="9"/>
      <c r="Y321" s="9">
        <v>2.15707</v>
      </c>
      <c r="AA321">
        <v>812.5</v>
      </c>
      <c r="AG321" s="9"/>
      <c r="AH321">
        <v>85</v>
      </c>
      <c r="AI321">
        <f t="shared" si="38"/>
        <v>0.85</v>
      </c>
    </row>
    <row r="322" spans="1:35" x14ac:dyDescent="0.3">
      <c r="A322" s="15"/>
      <c r="B322" s="1"/>
      <c r="C322" s="1">
        <v>510.77</v>
      </c>
      <c r="D322" s="30">
        <v>0.22264</v>
      </c>
      <c r="E322" s="25"/>
      <c r="F322" s="20"/>
      <c r="L322" s="26">
        <f t="shared" si="37"/>
        <v>0.22264</v>
      </c>
      <c r="U322">
        <f t="shared" si="32"/>
        <v>268.88089540258932</v>
      </c>
      <c r="X322" s="9"/>
      <c r="Y322" s="11">
        <v>0.67276999999999998</v>
      </c>
      <c r="AA322">
        <v>812.5</v>
      </c>
      <c r="AG322" s="9"/>
      <c r="AH322">
        <v>22.6</v>
      </c>
      <c r="AI322">
        <f t="shared" si="38"/>
        <v>0.22600000000000001</v>
      </c>
    </row>
    <row r="323" spans="1:35" x14ac:dyDescent="0.3">
      <c r="A323" s="15"/>
      <c r="B323" s="1"/>
      <c r="C323" s="1">
        <v>860.56</v>
      </c>
      <c r="D323" s="30">
        <v>7.9119999999999996E-2</v>
      </c>
      <c r="E323" s="25"/>
      <c r="F323" s="25"/>
      <c r="L323" s="26">
        <f t="shared" si="37"/>
        <v>7.9119999999999996E-2</v>
      </c>
      <c r="U323">
        <f t="shared" ref="U323:U384" si="39">(L323/Y323)*AA323</f>
        <v>262.79535606246418</v>
      </c>
      <c r="X323" s="9"/>
      <c r="Y323" s="11">
        <v>0.24462</v>
      </c>
      <c r="AA323">
        <v>812.5</v>
      </c>
      <c r="AG323" s="9"/>
      <c r="AH323">
        <v>12.5</v>
      </c>
      <c r="AI323">
        <f t="shared" si="38"/>
        <v>0.125</v>
      </c>
    </row>
    <row r="324" spans="1:35" x14ac:dyDescent="0.3">
      <c r="A324" s="21">
        <v>28</v>
      </c>
      <c r="B324" s="1" t="s">
        <v>7</v>
      </c>
      <c r="C324" s="1">
        <v>351.93</v>
      </c>
      <c r="D324" s="30">
        <v>5.8630000000000002E-2</v>
      </c>
      <c r="E324" s="25"/>
      <c r="F324" s="25"/>
      <c r="K324">
        <v>28</v>
      </c>
      <c r="L324" s="26">
        <f>D324-I100</f>
        <v>5.6115974759999999E-2</v>
      </c>
      <c r="T324">
        <v>28</v>
      </c>
      <c r="U324">
        <f t="shared" si="39"/>
        <v>10.056356388373221</v>
      </c>
      <c r="X324" s="9" t="s">
        <v>7</v>
      </c>
      <c r="Y324" s="11">
        <v>6.8928799999999999</v>
      </c>
      <c r="AA324">
        <v>1235.25</v>
      </c>
      <c r="AG324" s="9" t="s">
        <v>7</v>
      </c>
      <c r="AH324">
        <v>35.72</v>
      </c>
      <c r="AI324">
        <f>AH324/100</f>
        <v>0.35719999999999996</v>
      </c>
    </row>
    <row r="325" spans="1:35" x14ac:dyDescent="0.3">
      <c r="A325" s="15"/>
      <c r="B325" s="1"/>
      <c r="C325" s="1">
        <v>295.22000000000003</v>
      </c>
      <c r="D325" s="30">
        <v>3.5990000000000001E-2</v>
      </c>
      <c r="E325" s="25"/>
      <c r="F325" s="25"/>
      <c r="L325" s="26">
        <f t="shared" ref="L325:L337" si="40">D325-I101</f>
        <v>3.5990000000000001E-2</v>
      </c>
      <c r="U325">
        <f t="shared" si="39"/>
        <v>10.895435997353134</v>
      </c>
      <c r="X325" s="9"/>
      <c r="Y325" s="11">
        <v>4.0803000000000003</v>
      </c>
      <c r="AA325">
        <v>1235.25</v>
      </c>
      <c r="AG325" s="9"/>
      <c r="AH325">
        <v>18.47</v>
      </c>
      <c r="AI325">
        <f t="shared" si="38"/>
        <v>0.18469999999999998</v>
      </c>
    </row>
    <row r="326" spans="1:35" x14ac:dyDescent="0.3">
      <c r="A326" s="15"/>
      <c r="B326" s="1" t="s">
        <v>8</v>
      </c>
      <c r="C326" s="1">
        <v>609.32000000000005</v>
      </c>
      <c r="D326" s="30">
        <v>4.3549999999999998E-2</v>
      </c>
      <c r="E326" s="25"/>
      <c r="F326" s="25"/>
      <c r="L326" s="26">
        <f t="shared" si="40"/>
        <v>4.3549999999999998E-2</v>
      </c>
      <c r="U326">
        <f t="shared" si="39"/>
        <v>11.032410635548901</v>
      </c>
      <c r="X326" s="9" t="s">
        <v>8</v>
      </c>
      <c r="Y326" s="11">
        <v>4.8761000000000001</v>
      </c>
      <c r="AA326">
        <v>1235.25</v>
      </c>
      <c r="AG326" s="9" t="s">
        <v>8</v>
      </c>
      <c r="AH326">
        <v>45.44</v>
      </c>
      <c r="AI326">
        <f t="shared" si="38"/>
        <v>0.45439999999999997</v>
      </c>
    </row>
    <row r="327" spans="1:35" x14ac:dyDescent="0.3">
      <c r="A327" s="15"/>
      <c r="B327" s="1"/>
      <c r="C327" s="1">
        <v>1764.49</v>
      </c>
      <c r="D327" s="34">
        <v>7.4739972300000004E-3</v>
      </c>
      <c r="E327" s="25"/>
      <c r="F327" s="25"/>
      <c r="L327" s="26">
        <f t="shared" si="40"/>
        <v>7.4739972300000004E-3</v>
      </c>
      <c r="U327">
        <f t="shared" si="39"/>
        <v>12.121547027936426</v>
      </c>
      <c r="X327" s="9"/>
      <c r="Y327" s="11">
        <v>0.76163999999999998</v>
      </c>
      <c r="AA327">
        <v>1235.25</v>
      </c>
      <c r="AG327" s="9"/>
      <c r="AH327">
        <v>15.29</v>
      </c>
      <c r="AI327">
        <f t="shared" si="38"/>
        <v>0.15289999999999998</v>
      </c>
    </row>
    <row r="328" spans="1:35" x14ac:dyDescent="0.3">
      <c r="A328" s="15"/>
      <c r="B328" s="1"/>
      <c r="C328" s="1">
        <v>1120.29</v>
      </c>
      <c r="D328" s="35">
        <v>8.3999459800000002E-3</v>
      </c>
      <c r="E328" s="25"/>
      <c r="F328" s="25"/>
      <c r="L328" s="26">
        <f t="shared" si="40"/>
        <v>8.3999459800000002E-3</v>
      </c>
      <c r="U328">
        <f t="shared" si="39"/>
        <v>10.578613724621501</v>
      </c>
      <c r="X328" s="9"/>
      <c r="Y328" s="11">
        <v>0.98085</v>
      </c>
      <c r="AA328">
        <v>1235.25</v>
      </c>
      <c r="AG328" s="9"/>
      <c r="AH328">
        <v>14.9</v>
      </c>
      <c r="AI328">
        <f t="shared" si="38"/>
        <v>0.14899999999999999</v>
      </c>
    </row>
    <row r="329" spans="1:35" x14ac:dyDescent="0.3">
      <c r="A329" s="15"/>
      <c r="B329" s="1" t="s">
        <v>9</v>
      </c>
      <c r="C329" s="1">
        <v>1460.82</v>
      </c>
      <c r="D329" s="34">
        <v>6.1259158999999999E-3</v>
      </c>
      <c r="E329" s="26"/>
      <c r="F329" s="26"/>
      <c r="L329" s="26">
        <f t="shared" si="40"/>
        <v>3.9184880599999992E-3</v>
      </c>
      <c r="X329" s="9" t="s">
        <v>9</v>
      </c>
      <c r="Y329" s="9">
        <v>1.74254</v>
      </c>
      <c r="AA329">
        <v>3545</v>
      </c>
      <c r="AG329" s="9" t="s">
        <v>9</v>
      </c>
      <c r="AH329">
        <v>10.66</v>
      </c>
      <c r="AI329">
        <f t="shared" si="38"/>
        <v>0.1066</v>
      </c>
    </row>
    <row r="330" spans="1:35" x14ac:dyDescent="0.3">
      <c r="A330" s="15"/>
      <c r="B330" s="1" t="s">
        <v>10</v>
      </c>
      <c r="C330" s="1">
        <v>238.63</v>
      </c>
      <c r="D330" s="30">
        <v>0.18329000000000001</v>
      </c>
      <c r="E330" s="26"/>
      <c r="F330" s="26"/>
      <c r="L330" s="26">
        <f t="shared" si="40"/>
        <v>0.17922766831</v>
      </c>
      <c r="X330" s="9" t="s">
        <v>10</v>
      </c>
      <c r="Y330" s="11">
        <v>7.7333699999999999</v>
      </c>
      <c r="AA330">
        <v>812.5</v>
      </c>
      <c r="AG330" s="9" t="s">
        <v>10</v>
      </c>
      <c r="AH330">
        <v>43.6</v>
      </c>
      <c r="AI330">
        <f t="shared" si="38"/>
        <v>0.436</v>
      </c>
    </row>
    <row r="331" spans="1:35" x14ac:dyDescent="0.3">
      <c r="A331" s="15"/>
      <c r="B331" s="1" t="s">
        <v>11</v>
      </c>
      <c r="C331" s="1">
        <v>911.21</v>
      </c>
      <c r="D331" s="29">
        <v>4.129E-2</v>
      </c>
      <c r="E331" s="26"/>
      <c r="F331" s="26"/>
      <c r="L331" s="26">
        <f t="shared" si="40"/>
        <v>4.129E-2</v>
      </c>
      <c r="X331" s="9" t="s">
        <v>11</v>
      </c>
      <c r="Y331" s="11">
        <v>1.39327</v>
      </c>
      <c r="AA331">
        <v>812.5</v>
      </c>
      <c r="AG331" s="9" t="s">
        <v>11</v>
      </c>
      <c r="AH331">
        <v>25.8</v>
      </c>
      <c r="AI331">
        <f t="shared" si="38"/>
        <v>0.25800000000000001</v>
      </c>
    </row>
    <row r="332" spans="1:35" x14ac:dyDescent="0.3">
      <c r="A332" s="15"/>
      <c r="B332" s="1"/>
      <c r="C332" s="1">
        <v>968.97</v>
      </c>
      <c r="D332" s="29">
        <v>2.2780000000000002E-2</v>
      </c>
      <c r="E332" s="25"/>
      <c r="F332" s="25"/>
      <c r="L332" s="26">
        <f t="shared" si="40"/>
        <v>2.2780000000000002E-2</v>
      </c>
      <c r="X332" s="9"/>
      <c r="Y332" s="11">
        <v>0.80701000000000001</v>
      </c>
      <c r="AA332">
        <v>812.5</v>
      </c>
      <c r="AG332" s="9"/>
      <c r="AH332">
        <v>15.8</v>
      </c>
      <c r="AI332">
        <f t="shared" si="38"/>
        <v>0.158</v>
      </c>
    </row>
    <row r="333" spans="1:35" x14ac:dyDescent="0.3">
      <c r="A333" s="15"/>
      <c r="B333" s="1"/>
      <c r="C333" s="1">
        <v>338.32</v>
      </c>
      <c r="D333" s="30">
        <v>3.669E-2</v>
      </c>
      <c r="E333" s="25"/>
      <c r="F333" s="25"/>
      <c r="L333" s="26">
        <f t="shared" si="40"/>
        <v>3.669E-2</v>
      </c>
      <c r="X333" s="9"/>
      <c r="Y333" s="11">
        <v>1.42353</v>
      </c>
      <c r="AA333">
        <v>812.5</v>
      </c>
      <c r="AG333" s="9"/>
      <c r="AH333">
        <v>11.27</v>
      </c>
      <c r="AI333">
        <f t="shared" si="38"/>
        <v>0.11269999999999999</v>
      </c>
    </row>
    <row r="334" spans="1:35" x14ac:dyDescent="0.3">
      <c r="A334" s="15"/>
      <c r="B334" s="1" t="s">
        <v>12</v>
      </c>
      <c r="C334" s="1">
        <v>2614.5300000000002</v>
      </c>
      <c r="D334" s="29">
        <v>2.4219999999999998E-2</v>
      </c>
      <c r="E334" s="25"/>
      <c r="F334" s="25"/>
      <c r="L334" s="26">
        <f t="shared" si="40"/>
        <v>2.2422028269999998E-2</v>
      </c>
      <c r="U334">
        <f t="shared" si="39"/>
        <v>26.01107664212082</v>
      </c>
      <c r="X334" s="9" t="s">
        <v>12</v>
      </c>
      <c r="Y334" s="11">
        <v>0.70038999999999996</v>
      </c>
      <c r="AA334">
        <v>812.5</v>
      </c>
      <c r="AG334" s="9" t="s">
        <v>12</v>
      </c>
      <c r="AH334">
        <v>99.754000000000005</v>
      </c>
      <c r="AI334">
        <f t="shared" si="38"/>
        <v>0.99754000000000009</v>
      </c>
    </row>
    <row r="335" spans="1:35" x14ac:dyDescent="0.3">
      <c r="A335" s="15"/>
      <c r="B335" s="1"/>
      <c r="C335" s="1">
        <v>583.19000000000005</v>
      </c>
      <c r="D335" s="29">
        <v>5.7880000000000001E-2</v>
      </c>
      <c r="E335" s="25"/>
      <c r="F335" s="25"/>
      <c r="L335" s="26">
        <f t="shared" si="40"/>
        <v>5.7880000000000001E-2</v>
      </c>
      <c r="U335">
        <f t="shared" si="39"/>
        <v>21.801564158789468</v>
      </c>
      <c r="X335" s="9"/>
      <c r="Y335" s="9">
        <v>2.15707</v>
      </c>
      <c r="AA335">
        <v>812.5</v>
      </c>
      <c r="AG335" s="9"/>
      <c r="AH335">
        <v>85</v>
      </c>
      <c r="AI335">
        <f t="shared" si="38"/>
        <v>0.85</v>
      </c>
    </row>
    <row r="336" spans="1:35" x14ac:dyDescent="0.3">
      <c r="A336" s="15"/>
      <c r="B336" s="1"/>
      <c r="C336" s="1">
        <v>510.77</v>
      </c>
      <c r="D336" s="30">
        <v>3.8379999999999997E-2</v>
      </c>
      <c r="E336" s="26"/>
      <c r="F336" s="26"/>
      <c r="L336" s="26">
        <f t="shared" si="40"/>
        <v>3.8379999999999997E-2</v>
      </c>
      <c r="U336">
        <f t="shared" si="39"/>
        <v>46.351279040385272</v>
      </c>
      <c r="X336" s="9"/>
      <c r="Y336" s="11">
        <v>0.67276999999999998</v>
      </c>
      <c r="AA336">
        <v>812.5</v>
      </c>
      <c r="AG336" s="9"/>
      <c r="AH336">
        <v>22.6</v>
      </c>
      <c r="AI336">
        <f t="shared" si="38"/>
        <v>0.22600000000000001</v>
      </c>
    </row>
    <row r="337" spans="1:35" x14ac:dyDescent="0.3">
      <c r="A337" s="15"/>
      <c r="B337" s="1"/>
      <c r="C337" s="1">
        <v>860.56</v>
      </c>
      <c r="D337" s="31">
        <v>6.05539975E-3</v>
      </c>
      <c r="E337" s="25"/>
      <c r="F337" s="25"/>
      <c r="L337" s="26">
        <f t="shared" si="40"/>
        <v>6.05539975E-3</v>
      </c>
      <c r="U337">
        <f t="shared" si="39"/>
        <v>20.112878329143161</v>
      </c>
      <c r="X337" s="9"/>
      <c r="Y337" s="11">
        <v>0.24462</v>
      </c>
      <c r="AA337">
        <v>812.5</v>
      </c>
      <c r="AG337" s="9"/>
      <c r="AH337">
        <v>12.5</v>
      </c>
      <c r="AI337">
        <f t="shared" si="38"/>
        <v>0.125</v>
      </c>
    </row>
    <row r="338" spans="1:35" x14ac:dyDescent="0.3">
      <c r="A338" s="21">
        <v>30</v>
      </c>
      <c r="B338" s="1" t="s">
        <v>7</v>
      </c>
      <c r="C338" s="1">
        <v>351.93</v>
      </c>
      <c r="D338" s="29">
        <v>2.1870000000000001E-2</v>
      </c>
      <c r="E338" s="25"/>
      <c r="F338" s="25"/>
      <c r="K338">
        <v>30</v>
      </c>
      <c r="L338" s="26">
        <f>D338-I100</f>
        <v>1.9355974760000002E-2</v>
      </c>
      <c r="T338">
        <v>30</v>
      </c>
      <c r="U338">
        <f t="shared" si="39"/>
        <v>3.4687195805367281</v>
      </c>
      <c r="X338" s="9" t="s">
        <v>7</v>
      </c>
      <c r="Y338" s="11">
        <v>6.8928799999999999</v>
      </c>
      <c r="AA338">
        <v>1235.25</v>
      </c>
      <c r="AG338" s="9" t="s">
        <v>7</v>
      </c>
      <c r="AH338">
        <v>35.72</v>
      </c>
      <c r="AI338">
        <f>AH338/100</f>
        <v>0.35719999999999996</v>
      </c>
    </row>
    <row r="339" spans="1:35" x14ac:dyDescent="0.3">
      <c r="A339" s="15"/>
      <c r="B339" s="1"/>
      <c r="C339" s="1">
        <v>295.22000000000003</v>
      </c>
      <c r="D339" s="30">
        <v>1.221E-2</v>
      </c>
      <c r="E339" s="25"/>
      <c r="F339" s="25"/>
      <c r="L339" s="26">
        <f t="shared" ref="L339:L351" si="41">D339-I101</f>
        <v>1.221E-2</v>
      </c>
      <c r="U339">
        <f t="shared" si="39"/>
        <v>3.6963954856260566</v>
      </c>
      <c r="X339" s="9"/>
      <c r="Y339" s="11">
        <v>4.0803000000000003</v>
      </c>
      <c r="AA339">
        <v>1235.25</v>
      </c>
      <c r="AG339" s="9"/>
      <c r="AH339">
        <v>18.47</v>
      </c>
      <c r="AI339">
        <f t="shared" ref="AI339:AI365" si="42">AH339/100</f>
        <v>0.18469999999999998</v>
      </c>
    </row>
    <row r="340" spans="1:35" x14ac:dyDescent="0.3">
      <c r="A340" s="15"/>
      <c r="B340" s="1" t="s">
        <v>8</v>
      </c>
      <c r="C340" s="1">
        <v>609.32000000000005</v>
      </c>
      <c r="D340" s="33">
        <v>1.67E-2</v>
      </c>
      <c r="E340" s="25"/>
      <c r="F340" s="25"/>
      <c r="L340" s="26">
        <f t="shared" si="41"/>
        <v>1.67E-2</v>
      </c>
      <c r="U340">
        <f t="shared" si="39"/>
        <v>4.2305684871106006</v>
      </c>
      <c r="X340" s="9" t="s">
        <v>8</v>
      </c>
      <c r="Y340" s="11">
        <v>4.8761000000000001</v>
      </c>
      <c r="AA340">
        <v>1235.25</v>
      </c>
      <c r="AG340" s="9" t="s">
        <v>8</v>
      </c>
      <c r="AH340">
        <v>45.44</v>
      </c>
      <c r="AI340">
        <f t="shared" si="42"/>
        <v>0.45439999999999997</v>
      </c>
    </row>
    <row r="341" spans="1:35" x14ac:dyDescent="0.3">
      <c r="A341" s="15"/>
      <c r="B341" s="1"/>
      <c r="C341" s="1">
        <v>1764.49</v>
      </c>
      <c r="D341" s="34">
        <v>1.6570656500000001E-3</v>
      </c>
      <c r="E341" s="25"/>
      <c r="F341" s="25"/>
      <c r="L341" s="26">
        <f t="shared" si="41"/>
        <v>1.6570656500000001E-3</v>
      </c>
      <c r="U341">
        <f t="shared" si="39"/>
        <v>2.687477475135891</v>
      </c>
      <c r="X341" s="9"/>
      <c r="Y341" s="11">
        <v>0.76163999999999998</v>
      </c>
      <c r="AA341">
        <v>1235.25</v>
      </c>
      <c r="AG341" s="9"/>
      <c r="AH341">
        <v>15.29</v>
      </c>
      <c r="AI341">
        <f t="shared" si="42"/>
        <v>0.15289999999999998</v>
      </c>
    </row>
    <row r="342" spans="1:35" x14ac:dyDescent="0.3">
      <c r="A342" s="15"/>
      <c r="B342" s="1"/>
      <c r="C342" s="1">
        <v>1120.29</v>
      </c>
      <c r="D342" s="35">
        <v>2.0140914699999998E-3</v>
      </c>
      <c r="E342" s="26"/>
      <c r="F342" s="26"/>
      <c r="L342" s="26">
        <f t="shared" si="41"/>
        <v>2.0140914699999998E-3</v>
      </c>
      <c r="U342">
        <f t="shared" si="39"/>
        <v>2.5364800818856095</v>
      </c>
      <c r="X342" s="9"/>
      <c r="Y342" s="11">
        <v>0.98085</v>
      </c>
      <c r="AA342">
        <v>1235.25</v>
      </c>
      <c r="AG342" s="9"/>
      <c r="AH342">
        <v>14.9</v>
      </c>
      <c r="AI342">
        <f t="shared" si="42"/>
        <v>0.14899999999999999</v>
      </c>
    </row>
    <row r="343" spans="1:35" x14ac:dyDescent="0.3">
      <c r="A343" s="15"/>
      <c r="B343" s="1" t="s">
        <v>9</v>
      </c>
      <c r="C343" s="1">
        <v>1460.82</v>
      </c>
      <c r="D343" s="35">
        <v>6.3933971099999999E-3</v>
      </c>
      <c r="E343" s="26"/>
      <c r="F343" s="26"/>
      <c r="L343" s="26">
        <f t="shared" si="41"/>
        <v>4.1859692699999992E-3</v>
      </c>
      <c r="X343" s="9" t="s">
        <v>9</v>
      </c>
      <c r="Y343" s="9">
        <v>1.74254</v>
      </c>
      <c r="AA343">
        <v>3545</v>
      </c>
      <c r="AG343" s="9" t="s">
        <v>9</v>
      </c>
      <c r="AH343">
        <v>10.66</v>
      </c>
      <c r="AI343">
        <f t="shared" si="42"/>
        <v>0.1066</v>
      </c>
    </row>
    <row r="344" spans="1:35" x14ac:dyDescent="0.3">
      <c r="A344" s="15"/>
      <c r="B344" s="1" t="s">
        <v>10</v>
      </c>
      <c r="C344" s="1">
        <v>238.63</v>
      </c>
      <c r="D344" s="30">
        <v>3.2640000000000002E-2</v>
      </c>
      <c r="E344" s="26"/>
      <c r="F344" s="26"/>
      <c r="L344" s="26">
        <f t="shared" si="41"/>
        <v>2.8577668310000002E-2</v>
      </c>
      <c r="X344" s="9" t="s">
        <v>10</v>
      </c>
      <c r="Y344" s="11">
        <v>7.7333699999999999</v>
      </c>
      <c r="AA344">
        <v>812.5</v>
      </c>
      <c r="AG344" s="9" t="s">
        <v>10</v>
      </c>
      <c r="AH344">
        <v>43.6</v>
      </c>
      <c r="AI344">
        <f t="shared" si="42"/>
        <v>0.436</v>
      </c>
    </row>
    <row r="345" spans="1:35" x14ac:dyDescent="0.3">
      <c r="A345" s="15"/>
      <c r="B345" s="1" t="s">
        <v>11</v>
      </c>
      <c r="C345" s="1">
        <v>911.21</v>
      </c>
      <c r="D345" s="34">
        <v>5.6636290699999996E-3</v>
      </c>
      <c r="E345" s="26"/>
      <c r="F345" s="26"/>
      <c r="L345" s="26">
        <f t="shared" si="41"/>
        <v>5.6636290699999996E-3</v>
      </c>
      <c r="X345" s="9" t="s">
        <v>11</v>
      </c>
      <c r="Y345" s="11">
        <v>1.39327</v>
      </c>
      <c r="AA345">
        <v>812.5</v>
      </c>
      <c r="AG345" s="9" t="s">
        <v>11</v>
      </c>
      <c r="AH345">
        <v>25.8</v>
      </c>
      <c r="AI345">
        <f t="shared" si="42"/>
        <v>0.25800000000000001</v>
      </c>
    </row>
    <row r="346" spans="1:35" x14ac:dyDescent="0.3">
      <c r="A346" s="15"/>
      <c r="B346" s="1"/>
      <c r="C346" s="1">
        <v>968.97</v>
      </c>
      <c r="D346" s="34">
        <v>3.9830969599999998E-3</v>
      </c>
      <c r="E346" s="25"/>
      <c r="F346" s="25"/>
      <c r="L346" s="26">
        <f t="shared" si="41"/>
        <v>3.9830969599999998E-3</v>
      </c>
      <c r="X346" s="9"/>
      <c r="Y346" s="11">
        <v>0.80701000000000001</v>
      </c>
      <c r="AA346">
        <v>812.5</v>
      </c>
      <c r="AG346" s="9"/>
      <c r="AH346">
        <v>15.8</v>
      </c>
      <c r="AI346">
        <f t="shared" si="42"/>
        <v>0.158</v>
      </c>
    </row>
    <row r="347" spans="1:35" x14ac:dyDescent="0.3">
      <c r="A347" s="15"/>
      <c r="B347" s="1"/>
      <c r="C347" s="1">
        <v>338.32</v>
      </c>
      <c r="D347" s="31">
        <v>4.4514955200000003E-3</v>
      </c>
      <c r="E347" s="26"/>
      <c r="F347" s="26"/>
      <c r="L347" s="26">
        <f t="shared" si="41"/>
        <v>4.4514955200000003E-3</v>
      </c>
      <c r="X347" s="9"/>
      <c r="Y347" s="11">
        <v>1.42353</v>
      </c>
      <c r="AA347">
        <v>812.5</v>
      </c>
      <c r="AG347" s="9"/>
      <c r="AH347">
        <v>11.27</v>
      </c>
      <c r="AI347">
        <f t="shared" si="42"/>
        <v>0.11269999999999999</v>
      </c>
    </row>
    <row r="348" spans="1:35" x14ac:dyDescent="0.3">
      <c r="A348" s="15"/>
      <c r="B348" s="1" t="s">
        <v>12</v>
      </c>
      <c r="C348" s="1">
        <v>2614.5300000000002</v>
      </c>
      <c r="D348" s="34">
        <v>7.8228218499999998E-3</v>
      </c>
      <c r="E348" s="26"/>
      <c r="F348" s="26"/>
      <c r="L348" s="26">
        <f t="shared" si="41"/>
        <v>6.0248501199999995E-3</v>
      </c>
      <c r="U348">
        <f t="shared" si="39"/>
        <v>6.9892356008795096</v>
      </c>
      <c r="X348" s="9" t="s">
        <v>12</v>
      </c>
      <c r="Y348" s="11">
        <v>0.70038999999999996</v>
      </c>
      <c r="AA348">
        <v>812.5</v>
      </c>
      <c r="AG348" s="9" t="s">
        <v>12</v>
      </c>
      <c r="AH348">
        <v>99.754000000000005</v>
      </c>
      <c r="AI348">
        <f t="shared" si="42"/>
        <v>0.99754000000000009</v>
      </c>
    </row>
    <row r="349" spans="1:35" x14ac:dyDescent="0.3">
      <c r="A349" s="15"/>
      <c r="B349" s="1"/>
      <c r="C349" s="1">
        <v>583.19000000000005</v>
      </c>
      <c r="D349" s="30">
        <v>1.1169999999999999E-2</v>
      </c>
      <c r="E349" s="25"/>
      <c r="F349" s="25"/>
      <c r="L349" s="26">
        <f t="shared" si="41"/>
        <v>1.1169999999999999E-2</v>
      </c>
      <c r="U349">
        <f t="shared" si="39"/>
        <v>4.2073854812314853</v>
      </c>
      <c r="X349" s="9"/>
      <c r="Y349" s="9">
        <v>2.15707</v>
      </c>
      <c r="AA349">
        <v>812.5</v>
      </c>
      <c r="AG349" s="9"/>
      <c r="AH349">
        <v>85</v>
      </c>
      <c r="AI349">
        <f t="shared" si="42"/>
        <v>0.85</v>
      </c>
    </row>
    <row r="350" spans="1:35" x14ac:dyDescent="0.3">
      <c r="A350" s="15"/>
      <c r="B350" s="1"/>
      <c r="C350" s="1">
        <v>510.77</v>
      </c>
      <c r="D350" s="29">
        <v>1.9550000000000001E-2</v>
      </c>
      <c r="E350" s="26"/>
      <c r="F350" s="26"/>
      <c r="L350" s="26">
        <f t="shared" si="41"/>
        <v>1.9550000000000001E-2</v>
      </c>
      <c r="U350">
        <f t="shared" si="39"/>
        <v>23.610409203739767</v>
      </c>
      <c r="X350" s="9"/>
      <c r="Y350" s="11">
        <v>0.67276999999999998</v>
      </c>
      <c r="AA350">
        <v>812.5</v>
      </c>
      <c r="AG350" s="9"/>
      <c r="AH350">
        <v>22.6</v>
      </c>
      <c r="AI350">
        <f t="shared" si="42"/>
        <v>0.22600000000000001</v>
      </c>
    </row>
    <row r="351" spans="1:35" x14ac:dyDescent="0.3">
      <c r="A351" s="15"/>
      <c r="B351" s="22"/>
      <c r="C351" s="1">
        <v>860.56</v>
      </c>
      <c r="D351" s="1">
        <v>0</v>
      </c>
      <c r="E351" s="25"/>
      <c r="F351" s="25"/>
      <c r="L351" s="26">
        <f t="shared" si="41"/>
        <v>0</v>
      </c>
      <c r="U351">
        <f t="shared" si="39"/>
        <v>0</v>
      </c>
      <c r="X351" s="9"/>
      <c r="Y351" s="11">
        <v>0.24462</v>
      </c>
      <c r="AA351">
        <v>812.5</v>
      </c>
      <c r="AG351" s="9"/>
      <c r="AH351">
        <v>12.5</v>
      </c>
      <c r="AI351">
        <f t="shared" si="42"/>
        <v>0.125</v>
      </c>
    </row>
    <row r="352" spans="1:35" x14ac:dyDescent="0.3">
      <c r="A352" s="21">
        <v>31</v>
      </c>
      <c r="B352" s="1" t="s">
        <v>7</v>
      </c>
      <c r="C352" s="1">
        <v>351.93</v>
      </c>
      <c r="D352" s="30">
        <v>2.487E-2</v>
      </c>
      <c r="E352" s="26"/>
      <c r="F352" s="26"/>
      <c r="K352">
        <v>31</v>
      </c>
      <c r="L352" s="26">
        <f>D352-I114</f>
        <v>2.487E-2</v>
      </c>
      <c r="T352">
        <v>31</v>
      </c>
      <c r="U352">
        <f t="shared" si="39"/>
        <v>4.4568696248882906</v>
      </c>
      <c r="X352" s="9" t="s">
        <v>7</v>
      </c>
      <c r="Y352" s="11">
        <v>6.8928799999999999</v>
      </c>
      <c r="AA352">
        <v>1235.25</v>
      </c>
      <c r="AG352" s="9" t="s">
        <v>7</v>
      </c>
      <c r="AH352">
        <v>35.72</v>
      </c>
      <c r="AI352">
        <f>AH352/100</f>
        <v>0.35719999999999996</v>
      </c>
    </row>
    <row r="353" spans="1:35" x14ac:dyDescent="0.3">
      <c r="A353" s="15"/>
      <c r="B353" s="1"/>
      <c r="C353" s="1">
        <v>295.22000000000003</v>
      </c>
      <c r="D353" s="33">
        <v>1.6369999999999999E-2</v>
      </c>
      <c r="L353" s="26">
        <f t="shared" ref="L353:L365" si="43">D353-I115</f>
        <v>1.6369999999999999E-2</v>
      </c>
      <c r="U353">
        <f t="shared" si="39"/>
        <v>4.955773472538783</v>
      </c>
      <c r="X353" s="9"/>
      <c r="Y353" s="11">
        <v>4.0803000000000003</v>
      </c>
      <c r="AA353">
        <v>1235.25</v>
      </c>
      <c r="AG353" s="9"/>
      <c r="AH353">
        <v>18.47</v>
      </c>
      <c r="AI353">
        <f t="shared" si="42"/>
        <v>0.18469999999999998</v>
      </c>
    </row>
    <row r="354" spans="1:35" x14ac:dyDescent="0.3">
      <c r="A354" s="15"/>
      <c r="B354" s="1" t="s">
        <v>8</v>
      </c>
      <c r="C354" s="1">
        <v>609.32000000000005</v>
      </c>
      <c r="D354" s="30">
        <v>1.7500000000000002E-2</v>
      </c>
      <c r="E354" s="25"/>
      <c r="F354" s="25"/>
      <c r="L354" s="26">
        <f t="shared" si="43"/>
        <v>1.7500000000000002E-2</v>
      </c>
      <c r="U354">
        <f t="shared" si="39"/>
        <v>4.4332304505650013</v>
      </c>
      <c r="X354" s="9" t="s">
        <v>8</v>
      </c>
      <c r="Y354" s="11">
        <v>4.8761000000000001</v>
      </c>
      <c r="AA354">
        <v>1235.25</v>
      </c>
      <c r="AG354" s="9" t="s">
        <v>8</v>
      </c>
      <c r="AH354">
        <v>45.44</v>
      </c>
      <c r="AI354">
        <f t="shared" si="42"/>
        <v>0.45439999999999997</v>
      </c>
    </row>
    <row r="355" spans="1:35" x14ac:dyDescent="0.3">
      <c r="A355" s="15"/>
      <c r="B355" s="1"/>
      <c r="C355" s="1">
        <v>1764.49</v>
      </c>
      <c r="D355" s="34">
        <v>3.5727582699999999E-3</v>
      </c>
      <c r="E355" s="25"/>
      <c r="F355" s="25"/>
      <c r="L355" s="26">
        <f t="shared" si="43"/>
        <v>3.5727582699999999E-3</v>
      </c>
      <c r="U355">
        <f t="shared" si="39"/>
        <v>5.7944037248798645</v>
      </c>
      <c r="X355" s="9"/>
      <c r="Y355" s="11">
        <v>0.76163999999999998</v>
      </c>
      <c r="AA355">
        <v>1235.25</v>
      </c>
      <c r="AG355" s="9"/>
      <c r="AH355">
        <v>15.29</v>
      </c>
      <c r="AI355">
        <f t="shared" si="42"/>
        <v>0.15289999999999998</v>
      </c>
    </row>
    <row r="356" spans="1:35" x14ac:dyDescent="0.3">
      <c r="A356" s="15"/>
      <c r="B356" s="1"/>
      <c r="C356" s="1">
        <v>1120.29</v>
      </c>
      <c r="D356" s="34">
        <v>3.7686860400000001E-3</v>
      </c>
      <c r="E356" s="25"/>
      <c r="F356" s="25"/>
      <c r="L356" s="26">
        <f t="shared" si="43"/>
        <v>3.7686860400000001E-3</v>
      </c>
      <c r="U356">
        <f t="shared" si="39"/>
        <v>4.7461583635724125</v>
      </c>
      <c r="X356" s="9"/>
      <c r="Y356" s="11">
        <v>0.98085</v>
      </c>
      <c r="AA356">
        <v>1235.25</v>
      </c>
      <c r="AG356" s="9"/>
      <c r="AH356">
        <v>14.9</v>
      </c>
      <c r="AI356">
        <f t="shared" si="42"/>
        <v>0.14899999999999999</v>
      </c>
    </row>
    <row r="357" spans="1:35" x14ac:dyDescent="0.3">
      <c r="A357" s="15"/>
      <c r="B357" s="1" t="s">
        <v>9</v>
      </c>
      <c r="C357" s="1">
        <v>1460.82</v>
      </c>
      <c r="D357" s="34">
        <v>5.0234610299999998E-3</v>
      </c>
      <c r="E357" s="26"/>
      <c r="F357" s="26"/>
      <c r="L357" s="26">
        <f t="shared" si="43"/>
        <v>1.0630106799999995E-3</v>
      </c>
      <c r="X357" s="9" t="s">
        <v>9</v>
      </c>
      <c r="Y357" s="9">
        <v>1.74254</v>
      </c>
      <c r="AA357">
        <v>3545</v>
      </c>
      <c r="AG357" s="9" t="s">
        <v>9</v>
      </c>
      <c r="AH357">
        <v>10.66</v>
      </c>
      <c r="AI357">
        <f t="shared" si="42"/>
        <v>0.1066</v>
      </c>
    </row>
    <row r="358" spans="1:35" x14ac:dyDescent="0.3">
      <c r="A358" s="15"/>
      <c r="B358" s="1" t="s">
        <v>10</v>
      </c>
      <c r="C358" s="1">
        <v>238.63</v>
      </c>
      <c r="D358" s="30">
        <v>6.164E-2</v>
      </c>
      <c r="E358" s="26"/>
      <c r="F358" s="26"/>
      <c r="L358" s="26">
        <f t="shared" si="43"/>
        <v>5.8362366739999998E-2</v>
      </c>
      <c r="X358" s="9" t="s">
        <v>10</v>
      </c>
      <c r="Y358" s="11">
        <v>7.7333699999999999</v>
      </c>
      <c r="AA358">
        <v>812.5</v>
      </c>
      <c r="AG358" s="9" t="s">
        <v>10</v>
      </c>
      <c r="AH358">
        <v>43.6</v>
      </c>
      <c r="AI358">
        <f t="shared" si="42"/>
        <v>0.436</v>
      </c>
    </row>
    <row r="359" spans="1:35" x14ac:dyDescent="0.3">
      <c r="A359" s="15"/>
      <c r="B359" s="1" t="s">
        <v>11</v>
      </c>
      <c r="C359" s="1">
        <v>911.21</v>
      </c>
      <c r="D359" s="29">
        <v>1.204E-2</v>
      </c>
      <c r="E359" s="26"/>
      <c r="F359" s="26"/>
      <c r="L359" s="26">
        <f t="shared" si="43"/>
        <v>1.204E-2</v>
      </c>
      <c r="X359" s="9" t="s">
        <v>11</v>
      </c>
      <c r="Y359" s="11">
        <v>1.39327</v>
      </c>
      <c r="AA359">
        <v>812.5</v>
      </c>
      <c r="AG359" s="9" t="s">
        <v>11</v>
      </c>
      <c r="AH359">
        <v>25.8</v>
      </c>
      <c r="AI359">
        <f t="shared" si="42"/>
        <v>0.25800000000000001</v>
      </c>
    </row>
    <row r="360" spans="1:35" x14ac:dyDescent="0.3">
      <c r="A360" s="15"/>
      <c r="B360" s="1"/>
      <c r="C360" s="1">
        <v>968.97</v>
      </c>
      <c r="D360" s="34">
        <v>5.0181553300000003E-3</v>
      </c>
      <c r="E360" s="25"/>
      <c r="F360" s="26"/>
      <c r="L360" s="26">
        <f t="shared" si="43"/>
        <v>5.0181553300000003E-3</v>
      </c>
      <c r="X360" s="9"/>
      <c r="Y360" s="11">
        <v>0.80701000000000001</v>
      </c>
      <c r="AA360">
        <v>812.5</v>
      </c>
      <c r="AG360" s="9"/>
      <c r="AH360">
        <v>15.8</v>
      </c>
      <c r="AI360">
        <f t="shared" si="42"/>
        <v>0.158</v>
      </c>
    </row>
    <row r="361" spans="1:35" x14ac:dyDescent="0.3">
      <c r="A361" s="15"/>
      <c r="B361" s="1"/>
      <c r="C361" s="1">
        <v>338.32</v>
      </c>
      <c r="D361" s="32">
        <v>9.8300479199999995E-3</v>
      </c>
      <c r="E361" s="25"/>
      <c r="F361" s="25"/>
      <c r="L361" s="26">
        <f t="shared" si="43"/>
        <v>9.8300479199999995E-3</v>
      </c>
      <c r="X361" s="9"/>
      <c r="Y361" s="11">
        <v>1.42353</v>
      </c>
      <c r="AA361">
        <v>812.5</v>
      </c>
      <c r="AG361" s="9"/>
      <c r="AH361">
        <v>11.27</v>
      </c>
      <c r="AI361">
        <f t="shared" si="42"/>
        <v>0.11269999999999999</v>
      </c>
    </row>
    <row r="362" spans="1:35" x14ac:dyDescent="0.3">
      <c r="A362" s="15"/>
      <c r="B362" s="1" t="s">
        <v>12</v>
      </c>
      <c r="C362" s="1">
        <v>2614.5300000000002</v>
      </c>
      <c r="D362" s="34">
        <v>7.89547497E-3</v>
      </c>
      <c r="E362" s="25"/>
      <c r="F362" s="25"/>
      <c r="L362" s="26">
        <f t="shared" si="43"/>
        <v>3.7478743500000003E-3</v>
      </c>
      <c r="U362">
        <f t="shared" si="39"/>
        <v>4.3477889595439692</v>
      </c>
      <c r="X362" s="9" t="s">
        <v>12</v>
      </c>
      <c r="Y362" s="11">
        <v>0.70038999999999996</v>
      </c>
      <c r="AA362">
        <v>812.5</v>
      </c>
      <c r="AG362" s="9" t="s">
        <v>12</v>
      </c>
      <c r="AH362">
        <v>99.754000000000005</v>
      </c>
      <c r="AI362">
        <f t="shared" si="42"/>
        <v>0.99754000000000009</v>
      </c>
    </row>
    <row r="363" spans="1:35" x14ac:dyDescent="0.3">
      <c r="A363" s="15"/>
      <c r="B363" s="1"/>
      <c r="C363" s="1">
        <v>583.19000000000005</v>
      </c>
      <c r="D363" s="33">
        <v>1.6809999999999999E-2</v>
      </c>
      <c r="E363" s="25"/>
      <c r="F363" s="25"/>
      <c r="L363" s="26">
        <f t="shared" si="43"/>
        <v>1.6809999999999999E-2</v>
      </c>
      <c r="U363">
        <f t="shared" si="39"/>
        <v>6.3317949811549914</v>
      </c>
      <c r="X363" s="9"/>
      <c r="Y363" s="9">
        <v>2.15707</v>
      </c>
      <c r="AA363">
        <v>812.5</v>
      </c>
      <c r="AG363" s="9"/>
      <c r="AH363">
        <v>85</v>
      </c>
      <c r="AI363">
        <f t="shared" si="42"/>
        <v>0.85</v>
      </c>
    </row>
    <row r="364" spans="1:35" x14ac:dyDescent="0.3">
      <c r="A364" s="15"/>
      <c r="B364" s="1"/>
      <c r="C364" s="1">
        <v>510.77</v>
      </c>
      <c r="D364" s="30">
        <v>2.4920000000000001E-2</v>
      </c>
      <c r="E364" s="26"/>
      <c r="F364" s="26"/>
      <c r="L364" s="26">
        <f t="shared" si="43"/>
        <v>2.4920000000000001E-2</v>
      </c>
      <c r="U364">
        <f t="shared" si="39"/>
        <v>30.095723649984393</v>
      </c>
      <c r="X364" s="9"/>
      <c r="Y364" s="11">
        <v>0.67276999999999998</v>
      </c>
      <c r="AA364">
        <v>812.5</v>
      </c>
      <c r="AG364" s="9"/>
      <c r="AH364">
        <v>22.6</v>
      </c>
      <c r="AI364">
        <f t="shared" si="42"/>
        <v>0.22600000000000001</v>
      </c>
    </row>
    <row r="365" spans="1:35" x14ac:dyDescent="0.3">
      <c r="A365" s="15"/>
      <c r="B365" s="22"/>
      <c r="C365" s="1">
        <v>860.56</v>
      </c>
      <c r="D365" s="1">
        <v>0</v>
      </c>
      <c r="E365" s="25"/>
      <c r="F365" s="25"/>
      <c r="L365" s="26">
        <f t="shared" si="43"/>
        <v>0</v>
      </c>
      <c r="U365">
        <f t="shared" si="39"/>
        <v>0</v>
      </c>
      <c r="X365" s="9"/>
      <c r="Y365" s="11">
        <v>0.24462</v>
      </c>
      <c r="AA365">
        <v>812.5</v>
      </c>
      <c r="AG365" s="9"/>
      <c r="AH365">
        <v>12.5</v>
      </c>
      <c r="AI365">
        <f t="shared" si="42"/>
        <v>0.125</v>
      </c>
    </row>
    <row r="366" spans="1:35" x14ac:dyDescent="0.3">
      <c r="A366" s="21">
        <v>32</v>
      </c>
      <c r="B366" s="1" t="s">
        <v>7</v>
      </c>
      <c r="C366" s="1">
        <v>351.93</v>
      </c>
      <c r="D366" s="33">
        <v>2.5319999999999999E-2</v>
      </c>
      <c r="E366" s="25"/>
      <c r="F366" s="25"/>
      <c r="K366">
        <v>32</v>
      </c>
      <c r="L366" s="26">
        <f>D366-I114</f>
        <v>2.5319999999999999E-2</v>
      </c>
      <c r="T366">
        <v>32</v>
      </c>
      <c r="U366">
        <f t="shared" si="39"/>
        <v>4.5375126217198032</v>
      </c>
      <c r="X366" s="9" t="s">
        <v>7</v>
      </c>
      <c r="Y366" s="11">
        <v>6.8928799999999999</v>
      </c>
      <c r="AA366">
        <v>1235.25</v>
      </c>
      <c r="AG366" s="9" t="s">
        <v>7</v>
      </c>
      <c r="AH366">
        <v>35.72</v>
      </c>
      <c r="AI366">
        <f>AH366/100</f>
        <v>0.35719999999999996</v>
      </c>
    </row>
    <row r="367" spans="1:35" x14ac:dyDescent="0.3">
      <c r="A367" s="15"/>
      <c r="B367" s="1"/>
      <c r="C367" s="1">
        <v>295.22000000000003</v>
      </c>
      <c r="D367" s="30">
        <v>1.5610000000000001E-2</v>
      </c>
      <c r="L367" s="26">
        <f t="shared" ref="L367:L379" si="44">D367-I115</f>
        <v>1.5610000000000001E-2</v>
      </c>
      <c r="U367">
        <f t="shared" si="39"/>
        <v>4.7256948018528044</v>
      </c>
      <c r="X367" s="9"/>
      <c r="Y367" s="11">
        <v>4.0803000000000003</v>
      </c>
      <c r="AA367">
        <v>1235.25</v>
      </c>
      <c r="AG367" s="9"/>
      <c r="AH367">
        <v>18.47</v>
      </c>
      <c r="AI367">
        <f t="shared" ref="AI367:AI393" si="45">AH367/100</f>
        <v>0.18469999999999998</v>
      </c>
    </row>
    <row r="368" spans="1:35" x14ac:dyDescent="0.3">
      <c r="A368" s="15"/>
      <c r="B368" s="1" t="s">
        <v>8</v>
      </c>
      <c r="C368" s="1">
        <v>609.32000000000005</v>
      </c>
      <c r="D368" s="33">
        <v>2.0299999999999999E-2</v>
      </c>
      <c r="E368" s="26"/>
      <c r="F368" s="26"/>
      <c r="L368" s="26">
        <f t="shared" si="44"/>
        <v>2.0299999999999999E-2</v>
      </c>
      <c r="U368">
        <f t="shared" si="39"/>
        <v>5.1425473226554006</v>
      </c>
      <c r="X368" s="9" t="s">
        <v>8</v>
      </c>
      <c r="Y368" s="11">
        <v>4.8761000000000001</v>
      </c>
      <c r="AA368">
        <v>1235.25</v>
      </c>
      <c r="AG368" s="9" t="s">
        <v>8</v>
      </c>
      <c r="AH368">
        <v>45.44</v>
      </c>
      <c r="AI368">
        <f t="shared" si="45"/>
        <v>0.45439999999999997</v>
      </c>
    </row>
    <row r="369" spans="1:35" x14ac:dyDescent="0.3">
      <c r="A369" s="15"/>
      <c r="B369" s="1"/>
      <c r="C369" s="1">
        <v>1764.49</v>
      </c>
      <c r="D369" s="25">
        <v>0</v>
      </c>
      <c r="E369" s="25"/>
      <c r="F369" s="25"/>
      <c r="L369" s="26">
        <f t="shared" si="44"/>
        <v>0</v>
      </c>
      <c r="U369">
        <f t="shared" si="39"/>
        <v>0</v>
      </c>
      <c r="X369" s="9"/>
      <c r="Y369" s="11">
        <v>0.76163999999999998</v>
      </c>
      <c r="AA369">
        <v>1235.25</v>
      </c>
      <c r="AG369" s="9"/>
      <c r="AH369">
        <v>15.29</v>
      </c>
      <c r="AI369">
        <f t="shared" si="45"/>
        <v>0.15289999999999998</v>
      </c>
    </row>
    <row r="370" spans="1:35" x14ac:dyDescent="0.3">
      <c r="A370" s="15"/>
      <c r="B370" s="22"/>
      <c r="C370" s="1">
        <v>1120.29</v>
      </c>
      <c r="D370" s="32">
        <v>2.7300539700000001E-3</v>
      </c>
      <c r="E370" s="26"/>
      <c r="F370" s="26"/>
      <c r="L370" s="26">
        <f t="shared" si="44"/>
        <v>2.7300539700000001E-3</v>
      </c>
      <c r="U370">
        <f t="shared" si="39"/>
        <v>3.438139538606821</v>
      </c>
      <c r="X370" s="9"/>
      <c r="Y370" s="11">
        <v>0.98085</v>
      </c>
      <c r="AA370">
        <v>1235.25</v>
      </c>
      <c r="AG370" s="9"/>
      <c r="AH370">
        <v>14.9</v>
      </c>
      <c r="AI370">
        <f t="shared" si="45"/>
        <v>0.14899999999999999</v>
      </c>
    </row>
    <row r="371" spans="1:35" x14ac:dyDescent="0.3">
      <c r="A371" s="15"/>
      <c r="B371" s="1" t="s">
        <v>9</v>
      </c>
      <c r="C371" s="1">
        <v>1460.82</v>
      </c>
      <c r="D371" s="34">
        <v>5.2937642200000003E-3</v>
      </c>
      <c r="E371" s="26"/>
      <c r="F371" s="26"/>
      <c r="L371" s="26">
        <f t="shared" si="44"/>
        <v>1.33331387E-3</v>
      </c>
      <c r="X371" s="9" t="s">
        <v>9</v>
      </c>
      <c r="Y371" s="9">
        <v>1.74254</v>
      </c>
      <c r="AA371">
        <v>3545</v>
      </c>
      <c r="AG371" s="9" t="s">
        <v>9</v>
      </c>
      <c r="AH371">
        <v>10.66</v>
      </c>
      <c r="AI371">
        <f t="shared" si="45"/>
        <v>0.1066</v>
      </c>
    </row>
    <row r="372" spans="1:35" x14ac:dyDescent="0.3">
      <c r="A372" s="15"/>
      <c r="B372" s="1" t="s">
        <v>10</v>
      </c>
      <c r="C372" s="1">
        <v>238.63</v>
      </c>
      <c r="D372" s="30">
        <v>5.9569999999999998E-2</v>
      </c>
      <c r="E372" s="26"/>
      <c r="F372" s="26"/>
      <c r="L372" s="26">
        <f t="shared" si="44"/>
        <v>5.6292366739999995E-2</v>
      </c>
      <c r="X372" s="9" t="s">
        <v>10</v>
      </c>
      <c r="Y372" s="11">
        <v>7.7333699999999999</v>
      </c>
      <c r="AA372">
        <v>812.5</v>
      </c>
      <c r="AG372" s="9" t="s">
        <v>10</v>
      </c>
      <c r="AH372">
        <v>43.6</v>
      </c>
      <c r="AI372">
        <f t="shared" si="45"/>
        <v>0.436</v>
      </c>
    </row>
    <row r="373" spans="1:35" x14ac:dyDescent="0.3">
      <c r="A373" s="15"/>
      <c r="B373" s="1" t="s">
        <v>11</v>
      </c>
      <c r="C373" s="1">
        <v>911.21</v>
      </c>
      <c r="D373" s="33">
        <v>1.026E-2</v>
      </c>
      <c r="E373" s="26"/>
      <c r="F373" s="26"/>
      <c r="L373" s="26">
        <f t="shared" si="44"/>
        <v>1.026E-2</v>
      </c>
      <c r="X373" s="9" t="s">
        <v>11</v>
      </c>
      <c r="Y373" s="11">
        <v>1.39327</v>
      </c>
      <c r="AA373">
        <v>812.5</v>
      </c>
      <c r="AG373" s="9" t="s">
        <v>11</v>
      </c>
      <c r="AH373">
        <v>25.8</v>
      </c>
      <c r="AI373">
        <f t="shared" si="45"/>
        <v>0.25800000000000001</v>
      </c>
    </row>
    <row r="374" spans="1:35" x14ac:dyDescent="0.3">
      <c r="A374" s="15"/>
      <c r="B374" s="1"/>
      <c r="C374" s="1">
        <v>968.97</v>
      </c>
      <c r="D374" s="32">
        <v>4.0517997099999998E-3</v>
      </c>
      <c r="E374" s="25"/>
      <c r="F374" s="25"/>
      <c r="L374" s="26">
        <f t="shared" si="44"/>
        <v>4.0517997099999998E-3</v>
      </c>
      <c r="X374" s="9"/>
      <c r="Y374" s="11">
        <v>0.80701000000000001</v>
      </c>
      <c r="AA374">
        <v>812.5</v>
      </c>
      <c r="AG374" s="9"/>
      <c r="AH374">
        <v>15.8</v>
      </c>
      <c r="AI374">
        <f t="shared" si="45"/>
        <v>0.158</v>
      </c>
    </row>
    <row r="375" spans="1:35" x14ac:dyDescent="0.3">
      <c r="A375" s="15"/>
      <c r="B375" s="1"/>
      <c r="C375" s="1">
        <v>338.32</v>
      </c>
      <c r="D375" s="33">
        <v>1.1730000000000001E-2</v>
      </c>
      <c r="E375" s="26"/>
      <c r="F375" s="26"/>
      <c r="L375" s="26">
        <f t="shared" si="44"/>
        <v>1.1730000000000001E-2</v>
      </c>
      <c r="X375" s="9"/>
      <c r="Y375" s="11">
        <v>1.42353</v>
      </c>
      <c r="AA375">
        <v>812.5</v>
      </c>
      <c r="AG375" s="9"/>
      <c r="AH375">
        <v>11.27</v>
      </c>
      <c r="AI375">
        <f t="shared" si="45"/>
        <v>0.11269999999999999</v>
      </c>
    </row>
    <row r="376" spans="1:35" x14ac:dyDescent="0.3">
      <c r="A376" s="15"/>
      <c r="B376" s="1" t="s">
        <v>12</v>
      </c>
      <c r="C376" s="1">
        <v>2614.5300000000002</v>
      </c>
      <c r="D376" s="34">
        <v>7.7208031800000002E-3</v>
      </c>
      <c r="E376" s="26"/>
      <c r="F376" s="26"/>
      <c r="L376" s="26">
        <f t="shared" si="44"/>
        <v>3.5732025600000005E-3</v>
      </c>
      <c r="U376">
        <f t="shared" si="39"/>
        <v>4.1451578120761301</v>
      </c>
      <c r="X376" s="9" t="s">
        <v>12</v>
      </c>
      <c r="Y376" s="11">
        <v>0.70038999999999996</v>
      </c>
      <c r="AA376">
        <v>812.5</v>
      </c>
      <c r="AG376" s="9" t="s">
        <v>12</v>
      </c>
      <c r="AH376">
        <v>99.754000000000005</v>
      </c>
      <c r="AI376">
        <f t="shared" si="45"/>
        <v>0.99754000000000009</v>
      </c>
    </row>
    <row r="377" spans="1:35" x14ac:dyDescent="0.3">
      <c r="A377" s="15"/>
      <c r="B377" s="1"/>
      <c r="C377" s="1">
        <v>583.19000000000005</v>
      </c>
      <c r="D377" s="33">
        <v>1.4619999999999999E-2</v>
      </c>
      <c r="E377" s="25"/>
      <c r="F377" s="25"/>
      <c r="L377" s="26">
        <f t="shared" si="44"/>
        <v>1.4619999999999999E-2</v>
      </c>
      <c r="U377">
        <f t="shared" si="39"/>
        <v>5.5068912923549069</v>
      </c>
      <c r="X377" s="9"/>
      <c r="Y377" s="9">
        <v>2.15707</v>
      </c>
      <c r="AA377">
        <v>812.5</v>
      </c>
      <c r="AG377" s="9"/>
      <c r="AH377">
        <v>85</v>
      </c>
      <c r="AI377">
        <f t="shared" si="45"/>
        <v>0.85</v>
      </c>
    </row>
    <row r="378" spans="1:35" x14ac:dyDescent="0.3">
      <c r="A378" s="15"/>
      <c r="B378" s="1"/>
      <c r="C378" s="1">
        <v>510.77</v>
      </c>
      <c r="D378" s="29">
        <v>2.631E-2</v>
      </c>
      <c r="E378" s="26"/>
      <c r="F378" s="26"/>
      <c r="L378" s="26">
        <f t="shared" si="44"/>
        <v>2.631E-2</v>
      </c>
      <c r="U378">
        <f t="shared" si="39"/>
        <v>31.774417705902465</v>
      </c>
      <c r="X378" s="9"/>
      <c r="Y378" s="11">
        <v>0.67276999999999998</v>
      </c>
      <c r="AA378">
        <v>812.5</v>
      </c>
      <c r="AG378" s="9"/>
      <c r="AH378">
        <v>22.6</v>
      </c>
      <c r="AI378">
        <f t="shared" si="45"/>
        <v>0.22600000000000001</v>
      </c>
    </row>
    <row r="379" spans="1:35" x14ac:dyDescent="0.3">
      <c r="A379" s="15"/>
      <c r="B379" s="22"/>
      <c r="C379" s="1">
        <v>860.56</v>
      </c>
      <c r="D379" s="20">
        <v>0</v>
      </c>
      <c r="E379" s="25"/>
      <c r="F379" s="25"/>
      <c r="L379" s="26">
        <f t="shared" si="44"/>
        <v>0</v>
      </c>
      <c r="U379">
        <f t="shared" si="39"/>
        <v>0</v>
      </c>
      <c r="X379" s="9"/>
      <c r="Y379" s="11">
        <v>0.24462</v>
      </c>
      <c r="AA379">
        <v>812.5</v>
      </c>
      <c r="AG379" s="9"/>
      <c r="AH379">
        <v>12.5</v>
      </c>
      <c r="AI379">
        <f t="shared" si="45"/>
        <v>0.125</v>
      </c>
    </row>
    <row r="380" spans="1:35" x14ac:dyDescent="0.3">
      <c r="A380" s="21">
        <v>33</v>
      </c>
      <c r="B380" s="1" t="s">
        <v>7</v>
      </c>
      <c r="C380" s="1">
        <v>351.93</v>
      </c>
      <c r="D380" s="30">
        <v>4.4150000000000002E-2</v>
      </c>
      <c r="E380" s="25"/>
      <c r="F380" s="25"/>
      <c r="K380">
        <v>33</v>
      </c>
      <c r="L380" s="26">
        <f>D380-I114</f>
        <v>4.4150000000000002E-2</v>
      </c>
      <c r="T380">
        <v>33</v>
      </c>
      <c r="U380">
        <f t="shared" si="39"/>
        <v>7.9119740224695629</v>
      </c>
      <c r="X380" s="9" t="s">
        <v>7</v>
      </c>
      <c r="Y380" s="11">
        <v>6.8928799999999999</v>
      </c>
      <c r="AA380">
        <v>1235.25</v>
      </c>
      <c r="AG380" s="9" t="s">
        <v>7</v>
      </c>
      <c r="AH380">
        <v>35.72</v>
      </c>
      <c r="AI380">
        <f>AH380/100</f>
        <v>0.35719999999999996</v>
      </c>
    </row>
    <row r="381" spans="1:35" x14ac:dyDescent="0.3">
      <c r="A381" s="15"/>
      <c r="B381" s="1"/>
      <c r="C381" s="1">
        <v>295.22000000000003</v>
      </c>
      <c r="D381" s="33">
        <v>2.759E-2</v>
      </c>
      <c r="E381" s="25"/>
      <c r="F381" s="25"/>
      <c r="L381" s="26">
        <f t="shared" ref="L381:L393" si="46">D381-I115</f>
        <v>2.759E-2</v>
      </c>
      <c r="U381">
        <f t="shared" si="39"/>
        <v>8.3524612160870522</v>
      </c>
      <c r="X381" s="9"/>
      <c r="Y381" s="11">
        <v>4.0803000000000003</v>
      </c>
      <c r="AA381">
        <v>1235.25</v>
      </c>
      <c r="AG381" s="9"/>
      <c r="AH381">
        <v>18.47</v>
      </c>
      <c r="AI381">
        <f t="shared" si="45"/>
        <v>0.18469999999999998</v>
      </c>
    </row>
    <row r="382" spans="1:35" x14ac:dyDescent="0.3">
      <c r="A382" s="15"/>
      <c r="B382" s="1" t="s">
        <v>8</v>
      </c>
      <c r="C382" s="1">
        <v>609.32000000000005</v>
      </c>
      <c r="D382" s="30">
        <v>3.1710000000000002E-2</v>
      </c>
      <c r="E382" s="25"/>
      <c r="F382" s="25"/>
      <c r="L382" s="26">
        <f t="shared" si="46"/>
        <v>3.1710000000000002E-2</v>
      </c>
      <c r="U382">
        <f t="shared" si="39"/>
        <v>8.033013576423782</v>
      </c>
      <c r="X382" s="9" t="s">
        <v>8</v>
      </c>
      <c r="Y382" s="11">
        <v>4.8761000000000001</v>
      </c>
      <c r="AA382">
        <v>1235.25</v>
      </c>
      <c r="AG382" s="9" t="s">
        <v>8</v>
      </c>
      <c r="AH382">
        <v>45.44</v>
      </c>
      <c r="AI382">
        <f t="shared" si="45"/>
        <v>0.45439999999999997</v>
      </c>
    </row>
    <row r="383" spans="1:35" x14ac:dyDescent="0.3">
      <c r="A383" s="15"/>
      <c r="B383" s="1"/>
      <c r="C383" s="1">
        <v>1764.49</v>
      </c>
      <c r="D383" s="32">
        <v>5.7150547500000003E-3</v>
      </c>
      <c r="E383" s="25"/>
      <c r="F383" s="25"/>
      <c r="L383" s="26">
        <f t="shared" si="46"/>
        <v>5.7150547500000003E-3</v>
      </c>
      <c r="U383">
        <f t="shared" si="39"/>
        <v>9.2688427340180404</v>
      </c>
      <c r="X383" s="9"/>
      <c r="Y383" s="11">
        <v>0.76163999999999998</v>
      </c>
      <c r="AA383">
        <v>1235.25</v>
      </c>
      <c r="AG383" s="9"/>
      <c r="AH383">
        <v>15.29</v>
      </c>
      <c r="AI383">
        <f t="shared" si="45"/>
        <v>0.15289999999999998</v>
      </c>
    </row>
    <row r="384" spans="1:35" x14ac:dyDescent="0.3">
      <c r="A384" s="15"/>
      <c r="B384" s="22"/>
      <c r="C384" s="1">
        <v>1120.29</v>
      </c>
      <c r="D384" s="34">
        <v>6.4385635000000002E-3</v>
      </c>
      <c r="E384" s="25"/>
      <c r="F384" s="25"/>
      <c r="L384" s="26">
        <f t="shared" si="46"/>
        <v>6.4385635000000002E-3</v>
      </c>
      <c r="U384">
        <f t="shared" si="39"/>
        <v>8.1085135987918644</v>
      </c>
      <c r="X384" s="9"/>
      <c r="Y384" s="11">
        <v>0.98085</v>
      </c>
      <c r="AA384">
        <v>1235.25</v>
      </c>
      <c r="AG384" s="9"/>
      <c r="AH384">
        <v>14.9</v>
      </c>
      <c r="AI384">
        <f t="shared" si="45"/>
        <v>0.14899999999999999</v>
      </c>
    </row>
    <row r="385" spans="1:35" x14ac:dyDescent="0.3">
      <c r="A385" s="15"/>
      <c r="B385" s="22" t="s">
        <v>9</v>
      </c>
      <c r="C385" s="1">
        <v>1460.82</v>
      </c>
      <c r="D385" s="31">
        <v>4.6565056899999999E-3</v>
      </c>
      <c r="E385" s="26"/>
      <c r="F385" s="26"/>
      <c r="L385" s="26">
        <f t="shared" si="46"/>
        <v>6.9605533999999962E-4</v>
      </c>
      <c r="X385" s="9" t="s">
        <v>9</v>
      </c>
      <c r="Y385" s="9">
        <v>1.74254</v>
      </c>
      <c r="AA385">
        <v>3545</v>
      </c>
      <c r="AG385" s="9" t="s">
        <v>9</v>
      </c>
      <c r="AH385">
        <v>10.66</v>
      </c>
      <c r="AI385">
        <f t="shared" si="45"/>
        <v>0.1066</v>
      </c>
    </row>
    <row r="386" spans="1:35" x14ac:dyDescent="0.3">
      <c r="A386" s="15"/>
      <c r="B386" s="1" t="s">
        <v>10</v>
      </c>
      <c r="C386" s="1">
        <v>238.63</v>
      </c>
      <c r="D386" s="30">
        <v>9.0969999999999995E-2</v>
      </c>
      <c r="E386" s="26"/>
      <c r="F386" s="26"/>
      <c r="L386" s="26">
        <f t="shared" si="46"/>
        <v>8.769236674E-2</v>
      </c>
      <c r="X386" s="9" t="s">
        <v>10</v>
      </c>
      <c r="Y386" s="11">
        <v>7.7333699999999999</v>
      </c>
      <c r="AA386">
        <v>812.5</v>
      </c>
      <c r="AG386" s="9" t="s">
        <v>10</v>
      </c>
      <c r="AH386">
        <v>43.6</v>
      </c>
      <c r="AI386">
        <f t="shared" si="45"/>
        <v>0.436</v>
      </c>
    </row>
    <row r="387" spans="1:35" x14ac:dyDescent="0.3">
      <c r="A387" s="15"/>
      <c r="B387" s="1" t="s">
        <v>11</v>
      </c>
      <c r="C387" s="1">
        <v>911.21</v>
      </c>
      <c r="D387" s="33">
        <v>1.866E-2</v>
      </c>
      <c r="E387" s="25"/>
      <c r="F387" s="25"/>
      <c r="L387" s="26">
        <f t="shared" si="46"/>
        <v>1.866E-2</v>
      </c>
      <c r="X387" s="9" t="s">
        <v>11</v>
      </c>
      <c r="Y387" s="11">
        <v>1.39327</v>
      </c>
      <c r="AA387">
        <v>812.5</v>
      </c>
      <c r="AG387" s="9" t="s">
        <v>11</v>
      </c>
      <c r="AH387">
        <v>25.8</v>
      </c>
      <c r="AI387">
        <f t="shared" si="45"/>
        <v>0.25800000000000001</v>
      </c>
    </row>
    <row r="388" spans="1:35" x14ac:dyDescent="0.3">
      <c r="A388" s="15"/>
      <c r="B388" s="1"/>
      <c r="C388" s="1">
        <v>968.97</v>
      </c>
      <c r="D388" s="34">
        <v>7.5165722699999998E-3</v>
      </c>
      <c r="E388" s="25"/>
      <c r="F388" s="25"/>
      <c r="L388" s="26">
        <f t="shared" si="46"/>
        <v>7.5165722699999998E-3</v>
      </c>
      <c r="X388" s="9"/>
      <c r="Y388" s="11">
        <v>0.80701000000000001</v>
      </c>
      <c r="AA388">
        <v>812.5</v>
      </c>
      <c r="AG388" s="9"/>
      <c r="AH388">
        <v>15.8</v>
      </c>
      <c r="AI388">
        <f t="shared" si="45"/>
        <v>0.158</v>
      </c>
    </row>
    <row r="389" spans="1:35" x14ac:dyDescent="0.3">
      <c r="A389" s="15"/>
      <c r="B389" s="1"/>
      <c r="C389" s="1">
        <v>338.32</v>
      </c>
      <c r="D389" s="30">
        <v>1.9550000000000001E-2</v>
      </c>
      <c r="E389" s="25"/>
      <c r="F389" s="25"/>
      <c r="L389" s="26">
        <f t="shared" si="46"/>
        <v>1.9550000000000001E-2</v>
      </c>
      <c r="X389" s="9"/>
      <c r="Y389" s="11">
        <v>1.42353</v>
      </c>
      <c r="AA389">
        <v>812.5</v>
      </c>
      <c r="AG389" s="9"/>
      <c r="AH389">
        <v>11.27</v>
      </c>
      <c r="AI389">
        <f t="shared" si="45"/>
        <v>0.11269999999999999</v>
      </c>
    </row>
    <row r="390" spans="1:35" x14ac:dyDescent="0.3">
      <c r="A390" s="15"/>
      <c r="B390" s="1" t="s">
        <v>12</v>
      </c>
      <c r="C390" s="1">
        <v>2614.5300000000002</v>
      </c>
      <c r="D390" s="33">
        <v>1.3299999999999999E-2</v>
      </c>
      <c r="E390" s="25"/>
      <c r="F390" s="25"/>
      <c r="L390" s="26">
        <f t="shared" si="46"/>
        <v>9.1523993799999988E-3</v>
      </c>
      <c r="U390">
        <f t="shared" ref="U390:U450" si="47">(L390/Y390)*AA390</f>
        <v>10.61740529740573</v>
      </c>
      <c r="X390" s="9" t="s">
        <v>12</v>
      </c>
      <c r="Y390" s="11">
        <v>0.70038999999999996</v>
      </c>
      <c r="AA390">
        <v>812.5</v>
      </c>
      <c r="AG390" s="9" t="s">
        <v>12</v>
      </c>
      <c r="AH390">
        <v>99.754000000000005</v>
      </c>
      <c r="AI390">
        <f t="shared" si="45"/>
        <v>0.99754000000000009</v>
      </c>
    </row>
    <row r="391" spans="1:35" x14ac:dyDescent="0.3">
      <c r="A391" s="15"/>
      <c r="B391" s="1"/>
      <c r="C391" s="1">
        <v>583.19000000000005</v>
      </c>
      <c r="D391" s="30">
        <v>2.903E-2</v>
      </c>
      <c r="E391" s="25"/>
      <c r="F391" s="25"/>
      <c r="L391" s="26">
        <f t="shared" si="46"/>
        <v>2.903E-2</v>
      </c>
      <c r="U391">
        <f t="shared" si="47"/>
        <v>10.934682230989258</v>
      </c>
      <c r="X391" s="9"/>
      <c r="Y391" s="9">
        <v>2.15707</v>
      </c>
      <c r="AA391">
        <v>812.5</v>
      </c>
      <c r="AG391" s="9"/>
      <c r="AH391">
        <v>85</v>
      </c>
      <c r="AI391">
        <f t="shared" si="45"/>
        <v>0.85</v>
      </c>
    </row>
    <row r="392" spans="1:35" x14ac:dyDescent="0.3">
      <c r="A392" s="15"/>
      <c r="B392" s="1"/>
      <c r="C392" s="1">
        <v>510.77</v>
      </c>
      <c r="D392" s="30">
        <v>3.0360000000000002E-2</v>
      </c>
      <c r="E392" s="26"/>
      <c r="F392" s="26"/>
      <c r="L392" s="26">
        <f t="shared" si="46"/>
        <v>3.0360000000000002E-2</v>
      </c>
      <c r="U392">
        <f t="shared" si="47"/>
        <v>36.665576645807633</v>
      </c>
      <c r="X392" s="9"/>
      <c r="Y392" s="11">
        <v>0.67276999999999998</v>
      </c>
      <c r="AA392">
        <v>812.5</v>
      </c>
      <c r="AG392" s="9"/>
      <c r="AH392">
        <v>22.6</v>
      </c>
      <c r="AI392">
        <f t="shared" si="45"/>
        <v>0.22600000000000001</v>
      </c>
    </row>
    <row r="393" spans="1:35" x14ac:dyDescent="0.3">
      <c r="A393" s="15"/>
      <c r="B393" s="1"/>
      <c r="C393" s="1">
        <v>860.56</v>
      </c>
      <c r="D393" s="34">
        <v>2.9347984500000001E-3</v>
      </c>
      <c r="E393" s="25"/>
      <c r="F393" s="25"/>
      <c r="L393" s="26">
        <f t="shared" si="46"/>
        <v>2.9347984500000001E-3</v>
      </c>
      <c r="U393">
        <f t="shared" si="47"/>
        <v>9.7478691056536668</v>
      </c>
      <c r="X393" s="9"/>
      <c r="Y393" s="11">
        <v>0.24462</v>
      </c>
      <c r="AA393">
        <v>812.5</v>
      </c>
      <c r="AG393" s="9"/>
      <c r="AH393">
        <v>12.5</v>
      </c>
      <c r="AI393">
        <f t="shared" si="45"/>
        <v>0.125</v>
      </c>
    </row>
    <row r="394" spans="1:35" x14ac:dyDescent="0.3">
      <c r="A394" s="21">
        <v>34</v>
      </c>
      <c r="B394" s="1" t="s">
        <v>7</v>
      </c>
      <c r="C394" s="1">
        <v>351.93</v>
      </c>
      <c r="D394" s="30">
        <v>4.8140000000000002E-2</v>
      </c>
      <c r="E394" s="25"/>
      <c r="F394" s="25"/>
      <c r="K394">
        <v>34</v>
      </c>
      <c r="L394" s="26">
        <f>D394-I128</f>
        <v>4.8140000000000002E-2</v>
      </c>
      <c r="T394">
        <v>34</v>
      </c>
      <c r="U394">
        <f t="shared" si="47"/>
        <v>8.6270085943756456</v>
      </c>
      <c r="X394" s="9" t="s">
        <v>7</v>
      </c>
      <c r="Y394" s="11">
        <v>6.8928799999999999</v>
      </c>
      <c r="AA394">
        <v>1235.25</v>
      </c>
      <c r="AG394" s="9" t="s">
        <v>7</v>
      </c>
      <c r="AH394">
        <v>35.72</v>
      </c>
      <c r="AI394">
        <f>AH394/100</f>
        <v>0.35719999999999996</v>
      </c>
    </row>
    <row r="395" spans="1:35" x14ac:dyDescent="0.3">
      <c r="A395" s="15"/>
      <c r="B395" s="1"/>
      <c r="C395" s="1">
        <v>295.22000000000003</v>
      </c>
      <c r="D395" s="30">
        <v>2.9829999999999999E-2</v>
      </c>
      <c r="E395" s="26"/>
      <c r="F395" s="26"/>
      <c r="L395" s="26">
        <f t="shared" ref="L395:L407" si="48">D395-I129</f>
        <v>2.9829999999999999E-2</v>
      </c>
      <c r="U395">
        <f t="shared" si="47"/>
        <v>9.0305878244246749</v>
      </c>
      <c r="X395" s="9"/>
      <c r="Y395" s="11">
        <v>4.0803000000000003</v>
      </c>
      <c r="AA395">
        <v>1235.25</v>
      </c>
      <c r="AG395" s="9"/>
      <c r="AH395">
        <v>18.47</v>
      </c>
      <c r="AI395">
        <f t="shared" ref="AI395:AI421" si="49">AH395/100</f>
        <v>0.18469999999999998</v>
      </c>
    </row>
    <row r="396" spans="1:35" x14ac:dyDescent="0.3">
      <c r="A396" s="15"/>
      <c r="B396" s="1" t="s">
        <v>8</v>
      </c>
      <c r="C396" s="1">
        <v>609.32000000000005</v>
      </c>
      <c r="D396" s="30">
        <v>3.2489999999999998E-2</v>
      </c>
      <c r="E396" s="25"/>
      <c r="F396" s="25"/>
      <c r="L396" s="26">
        <f t="shared" si="48"/>
        <v>3.2489999999999998E-2</v>
      </c>
      <c r="U396">
        <f t="shared" si="47"/>
        <v>8.2306089907918203</v>
      </c>
      <c r="X396" s="9" t="s">
        <v>8</v>
      </c>
      <c r="Y396" s="11">
        <v>4.8761000000000001</v>
      </c>
      <c r="AA396">
        <v>1235.25</v>
      </c>
      <c r="AG396" s="9" t="s">
        <v>8</v>
      </c>
      <c r="AH396">
        <v>45.44</v>
      </c>
      <c r="AI396">
        <f t="shared" si="49"/>
        <v>0.45439999999999997</v>
      </c>
    </row>
    <row r="397" spans="1:35" x14ac:dyDescent="0.3">
      <c r="A397" s="15"/>
      <c r="B397" s="1"/>
      <c r="C397" s="1">
        <v>1764.49</v>
      </c>
      <c r="D397" s="32">
        <v>4.5264568000000002E-3</v>
      </c>
      <c r="E397" s="25"/>
      <c r="F397" s="25"/>
      <c r="L397" s="26">
        <f t="shared" si="48"/>
        <v>4.5264568000000002E-3</v>
      </c>
      <c r="U397">
        <f t="shared" si="47"/>
        <v>7.3411398589884991</v>
      </c>
      <c r="X397" s="9"/>
      <c r="Y397" s="11">
        <v>0.76163999999999998</v>
      </c>
      <c r="AA397">
        <v>1235.25</v>
      </c>
      <c r="AG397" s="9"/>
      <c r="AH397">
        <v>15.29</v>
      </c>
      <c r="AI397">
        <f t="shared" si="49"/>
        <v>0.15289999999999998</v>
      </c>
    </row>
    <row r="398" spans="1:35" x14ac:dyDescent="0.3">
      <c r="A398" s="15"/>
      <c r="B398" s="1"/>
      <c r="C398" s="1">
        <v>1120.29</v>
      </c>
      <c r="D398" s="31">
        <v>7.2695336999999997E-3</v>
      </c>
      <c r="E398" s="25"/>
      <c r="F398" s="25"/>
      <c r="L398" s="26">
        <f t="shared" si="48"/>
        <v>7.2695336999999997E-3</v>
      </c>
      <c r="U398">
        <f t="shared" si="47"/>
        <v>9.1550099433399588</v>
      </c>
      <c r="X398" s="9"/>
      <c r="Y398" s="11">
        <v>0.98085</v>
      </c>
      <c r="AA398">
        <v>1235.25</v>
      </c>
      <c r="AG398" s="9"/>
      <c r="AH398">
        <v>14.9</v>
      </c>
      <c r="AI398">
        <f t="shared" si="49"/>
        <v>0.14899999999999999</v>
      </c>
    </row>
    <row r="399" spans="1:35" x14ac:dyDescent="0.3">
      <c r="A399" s="15"/>
      <c r="B399" s="1" t="s">
        <v>9</v>
      </c>
      <c r="C399" s="1">
        <v>1460.82</v>
      </c>
      <c r="D399" s="32">
        <v>7.4526816400000001E-3</v>
      </c>
      <c r="E399" s="26"/>
      <c r="F399" s="26"/>
      <c r="L399" s="26">
        <f t="shared" si="48"/>
        <v>5.1481014800000002E-3</v>
      </c>
      <c r="X399" s="9" t="s">
        <v>9</v>
      </c>
      <c r="Y399" s="9">
        <v>1.74254</v>
      </c>
      <c r="AA399">
        <v>3545</v>
      </c>
      <c r="AG399" s="9" t="s">
        <v>9</v>
      </c>
      <c r="AH399">
        <v>10.66</v>
      </c>
      <c r="AI399">
        <f t="shared" si="49"/>
        <v>0.1066</v>
      </c>
    </row>
    <row r="400" spans="1:35" x14ac:dyDescent="0.3">
      <c r="A400" s="15"/>
      <c r="B400" s="1" t="s">
        <v>10</v>
      </c>
      <c r="C400" s="1">
        <v>238.63</v>
      </c>
      <c r="D400" s="33">
        <v>0.11865000000000001</v>
      </c>
      <c r="E400" s="25"/>
      <c r="F400" s="25"/>
      <c r="L400" s="26">
        <f t="shared" si="48"/>
        <v>0.11465259436</v>
      </c>
      <c r="X400" s="9" t="s">
        <v>10</v>
      </c>
      <c r="Y400" s="11">
        <v>7.7333699999999999</v>
      </c>
      <c r="AA400">
        <v>812.5</v>
      </c>
      <c r="AG400" s="9" t="s">
        <v>10</v>
      </c>
      <c r="AH400">
        <v>43.6</v>
      </c>
      <c r="AI400">
        <f t="shared" si="49"/>
        <v>0.436</v>
      </c>
    </row>
    <row r="401" spans="1:35" x14ac:dyDescent="0.3">
      <c r="A401" s="15"/>
      <c r="B401" s="1" t="s">
        <v>11</v>
      </c>
      <c r="C401" s="1">
        <v>911.21</v>
      </c>
      <c r="D401" s="33">
        <v>2.239E-2</v>
      </c>
      <c r="E401" s="26"/>
      <c r="F401" s="26"/>
      <c r="L401" s="26">
        <f t="shared" si="48"/>
        <v>2.239E-2</v>
      </c>
      <c r="X401" s="9" t="s">
        <v>11</v>
      </c>
      <c r="Y401" s="11">
        <v>1.39327</v>
      </c>
      <c r="AA401">
        <v>812.5</v>
      </c>
      <c r="AG401" s="9" t="s">
        <v>11</v>
      </c>
      <c r="AH401">
        <v>25.8</v>
      </c>
      <c r="AI401">
        <f t="shared" si="49"/>
        <v>0.25800000000000001</v>
      </c>
    </row>
    <row r="402" spans="1:35" x14ac:dyDescent="0.3">
      <c r="A402" s="15"/>
      <c r="B402" s="1"/>
      <c r="C402" s="1">
        <v>968.97</v>
      </c>
      <c r="D402" s="33">
        <v>1.0120000000000001E-2</v>
      </c>
      <c r="E402" s="25"/>
      <c r="F402" s="25"/>
      <c r="L402" s="26">
        <f t="shared" si="48"/>
        <v>1.0120000000000001E-2</v>
      </c>
      <c r="X402" s="9"/>
      <c r="Y402" s="11">
        <v>0.80701000000000001</v>
      </c>
      <c r="AA402">
        <v>812.5</v>
      </c>
      <c r="AG402" s="9"/>
      <c r="AH402">
        <v>15.8</v>
      </c>
      <c r="AI402">
        <f t="shared" si="49"/>
        <v>0.158</v>
      </c>
    </row>
    <row r="403" spans="1:35" x14ac:dyDescent="0.3">
      <c r="A403" s="15"/>
      <c r="B403" s="1"/>
      <c r="C403" s="1">
        <v>338.32</v>
      </c>
      <c r="D403" s="30">
        <v>2.0809999999999999E-2</v>
      </c>
      <c r="E403" s="26"/>
      <c r="F403" s="26"/>
      <c r="L403" s="26">
        <f t="shared" si="48"/>
        <v>2.0809999999999999E-2</v>
      </c>
      <c r="X403" s="9"/>
      <c r="Y403" s="11">
        <v>1.42353</v>
      </c>
      <c r="AA403">
        <v>812.5</v>
      </c>
      <c r="AG403" s="9"/>
      <c r="AH403">
        <v>11.27</v>
      </c>
      <c r="AI403">
        <f t="shared" si="49"/>
        <v>0.11269999999999999</v>
      </c>
    </row>
    <row r="404" spans="1:35" x14ac:dyDescent="0.3">
      <c r="A404" s="15"/>
      <c r="B404" s="1" t="s">
        <v>12</v>
      </c>
      <c r="C404" s="1">
        <v>2614.5300000000002</v>
      </c>
      <c r="D404" s="33">
        <v>1.4749999999999999E-2</v>
      </c>
      <c r="E404" s="26"/>
      <c r="F404" s="26"/>
      <c r="L404" s="26">
        <f t="shared" si="48"/>
        <v>1.1917391449999998E-2</v>
      </c>
      <c r="U404">
        <f t="shared" si="47"/>
        <v>13.824984013371122</v>
      </c>
      <c r="X404" s="9" t="s">
        <v>12</v>
      </c>
      <c r="Y404" s="11">
        <v>0.70038999999999996</v>
      </c>
      <c r="AA404">
        <v>812.5</v>
      </c>
      <c r="AG404" s="9" t="s">
        <v>12</v>
      </c>
      <c r="AH404">
        <v>99.754000000000005</v>
      </c>
      <c r="AI404">
        <f t="shared" si="49"/>
        <v>0.99754000000000009</v>
      </c>
    </row>
    <row r="405" spans="1:35" x14ac:dyDescent="0.3">
      <c r="A405" s="15"/>
      <c r="B405" s="1"/>
      <c r="C405" s="1">
        <v>583.19000000000005</v>
      </c>
      <c r="D405" s="30">
        <v>2.9069999999999999E-2</v>
      </c>
      <c r="E405" s="25"/>
      <c r="F405" s="25"/>
      <c r="L405" s="26">
        <f t="shared" si="48"/>
        <v>2.9069999999999999E-2</v>
      </c>
      <c r="U405">
        <f t="shared" si="47"/>
        <v>10.949748965031269</v>
      </c>
      <c r="X405" s="9"/>
      <c r="Y405" s="9">
        <v>2.15707</v>
      </c>
      <c r="AA405">
        <v>812.5</v>
      </c>
      <c r="AG405" s="9"/>
      <c r="AH405">
        <v>85</v>
      </c>
      <c r="AI405">
        <f t="shared" si="49"/>
        <v>0.85</v>
      </c>
    </row>
    <row r="406" spans="1:35" x14ac:dyDescent="0.3">
      <c r="A406" s="15"/>
      <c r="B406" s="1"/>
      <c r="C406" s="1">
        <v>510.77</v>
      </c>
      <c r="D406" s="30">
        <v>3.0460000000000001E-2</v>
      </c>
      <c r="E406" s="26"/>
      <c r="F406" s="26"/>
      <c r="L406" s="26">
        <f t="shared" si="48"/>
        <v>1.1860000000000002E-2</v>
      </c>
      <c r="U406">
        <f t="shared" si="47"/>
        <v>14.32324568574699</v>
      </c>
      <c r="X406" s="9"/>
      <c r="Y406" s="11">
        <v>0.67276999999999998</v>
      </c>
      <c r="AA406">
        <v>812.5</v>
      </c>
      <c r="AG406" s="9"/>
      <c r="AH406">
        <v>22.6</v>
      </c>
      <c r="AI406">
        <f t="shared" si="49"/>
        <v>0.22600000000000001</v>
      </c>
    </row>
    <row r="407" spans="1:35" x14ac:dyDescent="0.3">
      <c r="A407" s="15"/>
      <c r="B407" s="1"/>
      <c r="C407" s="1">
        <v>860.56</v>
      </c>
      <c r="D407" s="34">
        <v>3.3232732600000001E-3</v>
      </c>
      <c r="E407" s="25"/>
      <c r="F407" s="25"/>
      <c r="L407" s="26">
        <f t="shared" si="48"/>
        <v>3.3232732600000001E-3</v>
      </c>
      <c r="U407">
        <f t="shared" si="47"/>
        <v>11.038179722631019</v>
      </c>
      <c r="X407" s="9"/>
      <c r="Y407" s="11">
        <v>0.24462</v>
      </c>
      <c r="AA407">
        <v>812.5</v>
      </c>
      <c r="AG407" s="9"/>
      <c r="AH407">
        <v>12.5</v>
      </c>
      <c r="AI407">
        <f t="shared" si="49"/>
        <v>0.125</v>
      </c>
    </row>
    <row r="408" spans="1:35" x14ac:dyDescent="0.3">
      <c r="A408" s="21">
        <v>36</v>
      </c>
      <c r="B408" s="1" t="s">
        <v>7</v>
      </c>
      <c r="C408" s="1">
        <v>351.93</v>
      </c>
      <c r="D408" s="30">
        <v>0.97270000000000001</v>
      </c>
      <c r="E408" s="25"/>
      <c r="F408" s="25"/>
      <c r="K408">
        <v>36</v>
      </c>
      <c r="L408" s="26">
        <f>D408-I128</f>
        <v>0.97270000000000001</v>
      </c>
      <c r="T408">
        <v>36</v>
      </c>
      <c r="U408">
        <f t="shared" si="47"/>
        <v>174.3143178178062</v>
      </c>
      <c r="X408" s="9" t="s">
        <v>7</v>
      </c>
      <c r="Y408" s="11">
        <v>6.8928799999999999</v>
      </c>
      <c r="AA408">
        <v>1235.25</v>
      </c>
      <c r="AG408" s="9" t="s">
        <v>7</v>
      </c>
      <c r="AH408">
        <v>35.72</v>
      </c>
      <c r="AI408">
        <f>AH408/100</f>
        <v>0.35719999999999996</v>
      </c>
    </row>
    <row r="409" spans="1:35" x14ac:dyDescent="0.3">
      <c r="A409" s="15"/>
      <c r="B409" s="1"/>
      <c r="C409" s="1">
        <v>295.22000000000003</v>
      </c>
      <c r="D409" s="30">
        <v>0.57691000000000003</v>
      </c>
      <c r="E409" s="26"/>
      <c r="F409" s="26"/>
      <c r="L409" s="26">
        <f t="shared" ref="L409:L421" si="50">D409-I129</f>
        <v>0.57691000000000003</v>
      </c>
      <c r="U409">
        <f t="shared" si="47"/>
        <v>174.65090250716858</v>
      </c>
      <c r="X409" s="9"/>
      <c r="Y409" s="11">
        <v>4.0803000000000003</v>
      </c>
      <c r="AA409">
        <v>1235.25</v>
      </c>
      <c r="AG409" s="9"/>
      <c r="AH409">
        <v>18.47</v>
      </c>
      <c r="AI409">
        <f t="shared" si="49"/>
        <v>0.18469999999999998</v>
      </c>
    </row>
    <row r="410" spans="1:35" x14ac:dyDescent="0.3">
      <c r="A410" s="15"/>
      <c r="B410" s="1" t="s">
        <v>8</v>
      </c>
      <c r="C410" s="1">
        <v>609.32000000000005</v>
      </c>
      <c r="D410" s="30">
        <v>0.69674999999999998</v>
      </c>
      <c r="E410" s="18"/>
      <c r="F410" s="18"/>
      <c r="L410" s="26">
        <f t="shared" si="50"/>
        <v>0.69674999999999998</v>
      </c>
      <c r="U410">
        <f t="shared" si="47"/>
        <v>176.50590379606652</v>
      </c>
      <c r="X410" s="9" t="s">
        <v>8</v>
      </c>
      <c r="Y410" s="11">
        <v>4.8761000000000001</v>
      </c>
      <c r="AA410">
        <v>1235.25</v>
      </c>
      <c r="AG410" s="9" t="s">
        <v>8</v>
      </c>
      <c r="AH410">
        <v>45.44</v>
      </c>
      <c r="AI410">
        <f t="shared" si="49"/>
        <v>0.45439999999999997</v>
      </c>
    </row>
    <row r="411" spans="1:35" x14ac:dyDescent="0.3">
      <c r="A411" s="15"/>
      <c r="B411" s="1"/>
      <c r="C411" s="1">
        <v>1764.49</v>
      </c>
      <c r="D411" s="30">
        <v>0.10156</v>
      </c>
      <c r="E411" s="25"/>
      <c r="F411" s="18"/>
      <c r="L411" s="26">
        <f t="shared" si="50"/>
        <v>0.10156</v>
      </c>
      <c r="U411">
        <f t="shared" si="47"/>
        <v>164.71297463368521</v>
      </c>
      <c r="X411" s="9"/>
      <c r="Y411" s="11">
        <v>0.76163999999999998</v>
      </c>
      <c r="AA411">
        <v>1235.25</v>
      </c>
      <c r="AG411" s="9"/>
      <c r="AH411">
        <v>15.29</v>
      </c>
      <c r="AI411">
        <f t="shared" si="49"/>
        <v>0.15289999999999998</v>
      </c>
    </row>
    <row r="412" spans="1:35" x14ac:dyDescent="0.3">
      <c r="A412" s="15"/>
      <c r="B412" s="1"/>
      <c r="C412" s="1">
        <v>1120.29</v>
      </c>
      <c r="D412" s="30">
        <v>0.13891000000000001</v>
      </c>
      <c r="E412" s="25"/>
      <c r="F412" s="20"/>
      <c r="L412" s="26">
        <f t="shared" si="50"/>
        <v>0.13891000000000001</v>
      </c>
      <c r="U412">
        <f t="shared" si="47"/>
        <v>174.9386526991895</v>
      </c>
      <c r="X412" s="9"/>
      <c r="Y412" s="11">
        <v>0.98085</v>
      </c>
      <c r="AA412">
        <v>1235.25</v>
      </c>
      <c r="AG412" s="9"/>
      <c r="AH412">
        <v>14.9</v>
      </c>
      <c r="AI412">
        <f t="shared" si="49"/>
        <v>0.14899999999999999</v>
      </c>
    </row>
    <row r="413" spans="1:35" x14ac:dyDescent="0.3">
      <c r="A413" s="15"/>
      <c r="B413" s="1" t="s">
        <v>9</v>
      </c>
      <c r="C413" s="1">
        <v>1460.82</v>
      </c>
      <c r="D413" s="34">
        <v>8.5293204999999997E-3</v>
      </c>
      <c r="E413" s="25"/>
      <c r="F413" s="25"/>
      <c r="L413" s="26">
        <f t="shared" si="50"/>
        <v>6.2247403399999998E-3</v>
      </c>
      <c r="X413" s="9" t="s">
        <v>9</v>
      </c>
      <c r="Y413" s="9">
        <v>1.74254</v>
      </c>
      <c r="AA413">
        <v>3545</v>
      </c>
      <c r="AG413" s="9" t="s">
        <v>9</v>
      </c>
      <c r="AH413">
        <v>10.66</v>
      </c>
      <c r="AI413">
        <f t="shared" si="49"/>
        <v>0.1066</v>
      </c>
    </row>
    <row r="414" spans="1:35" x14ac:dyDescent="0.3">
      <c r="A414" s="15"/>
      <c r="B414" s="1" t="s">
        <v>10</v>
      </c>
      <c r="C414" s="1">
        <v>238.63</v>
      </c>
      <c r="D414" s="30">
        <v>1.66917</v>
      </c>
      <c r="E414" s="25"/>
      <c r="F414" s="25"/>
      <c r="L414" s="26">
        <f t="shared" si="50"/>
        <v>1.66517259436</v>
      </c>
      <c r="X414" s="9" t="s">
        <v>10</v>
      </c>
      <c r="Y414" s="11">
        <v>7.7333699999999999</v>
      </c>
      <c r="AA414">
        <v>812.5</v>
      </c>
      <c r="AG414" s="9" t="s">
        <v>10</v>
      </c>
      <c r="AH414">
        <v>43.6</v>
      </c>
      <c r="AI414">
        <f t="shared" si="49"/>
        <v>0.436</v>
      </c>
    </row>
    <row r="415" spans="1:35" x14ac:dyDescent="0.3">
      <c r="A415" s="15"/>
      <c r="B415" s="1" t="s">
        <v>11</v>
      </c>
      <c r="C415" s="1">
        <v>911.21</v>
      </c>
      <c r="D415" s="33">
        <v>0.31236000000000003</v>
      </c>
      <c r="E415" s="26"/>
      <c r="F415" s="26"/>
      <c r="L415" s="26">
        <f t="shared" si="50"/>
        <v>0.31236000000000003</v>
      </c>
      <c r="X415" s="9" t="s">
        <v>11</v>
      </c>
      <c r="Y415" s="11">
        <v>1.39327</v>
      </c>
      <c r="AA415">
        <v>812.5</v>
      </c>
      <c r="AG415" s="9" t="s">
        <v>11</v>
      </c>
      <c r="AH415">
        <v>25.8</v>
      </c>
      <c r="AI415">
        <f t="shared" si="49"/>
        <v>0.25800000000000001</v>
      </c>
    </row>
    <row r="416" spans="1:35" x14ac:dyDescent="0.3">
      <c r="A416" s="15"/>
      <c r="B416" s="1"/>
      <c r="C416" s="1">
        <v>968.97</v>
      </c>
      <c r="D416" s="30">
        <v>0.18181</v>
      </c>
      <c r="E416" s="18"/>
      <c r="F416" s="18"/>
      <c r="L416" s="26">
        <f t="shared" si="50"/>
        <v>0.18181</v>
      </c>
      <c r="X416" s="9"/>
      <c r="Y416" s="11">
        <v>0.80701000000000001</v>
      </c>
      <c r="AA416">
        <v>812.5</v>
      </c>
      <c r="AG416" s="9"/>
      <c r="AH416">
        <v>15.8</v>
      </c>
      <c r="AI416">
        <f t="shared" si="49"/>
        <v>0.158</v>
      </c>
    </row>
    <row r="417" spans="1:35" x14ac:dyDescent="0.3">
      <c r="A417" s="15"/>
      <c r="B417" s="1"/>
      <c r="C417" s="1">
        <v>338.32</v>
      </c>
      <c r="D417" s="30">
        <v>0.31696999999999997</v>
      </c>
      <c r="E417" s="25"/>
      <c r="F417" s="25"/>
      <c r="L417" s="26">
        <f t="shared" si="50"/>
        <v>0.31696999999999997</v>
      </c>
      <c r="X417" s="9"/>
      <c r="Y417" s="11">
        <v>1.42353</v>
      </c>
      <c r="AA417">
        <v>812.5</v>
      </c>
      <c r="AG417" s="9"/>
      <c r="AH417">
        <v>11.27</v>
      </c>
      <c r="AI417">
        <f t="shared" si="49"/>
        <v>0.11269999999999999</v>
      </c>
    </row>
    <row r="418" spans="1:35" x14ac:dyDescent="0.3">
      <c r="A418" s="15"/>
      <c r="B418" s="1" t="s">
        <v>12</v>
      </c>
      <c r="C418" s="1">
        <v>2614.5300000000002</v>
      </c>
      <c r="D418" s="30">
        <v>0.15751000000000001</v>
      </c>
      <c r="E418" s="25"/>
      <c r="F418" s="25"/>
      <c r="L418" s="26">
        <f t="shared" si="50"/>
        <v>0.15467739145000001</v>
      </c>
      <c r="U418">
        <f t="shared" si="47"/>
        <v>179.43628628781823</v>
      </c>
      <c r="X418" s="9" t="s">
        <v>12</v>
      </c>
      <c r="Y418" s="11">
        <v>0.70038999999999996</v>
      </c>
      <c r="AA418">
        <v>812.5</v>
      </c>
      <c r="AG418" s="9" t="s">
        <v>12</v>
      </c>
      <c r="AH418">
        <v>99.754000000000005</v>
      </c>
      <c r="AI418">
        <f t="shared" si="49"/>
        <v>0.99754000000000009</v>
      </c>
    </row>
    <row r="419" spans="1:35" x14ac:dyDescent="0.3">
      <c r="A419" s="15"/>
      <c r="B419" s="1"/>
      <c r="C419" s="1">
        <v>583.19000000000005</v>
      </c>
      <c r="D419" s="30">
        <v>0.4854</v>
      </c>
      <c r="E419" s="25"/>
      <c r="F419" s="25"/>
      <c r="L419" s="26">
        <f t="shared" si="50"/>
        <v>0.4854</v>
      </c>
      <c r="U419">
        <f t="shared" si="47"/>
        <v>182.83481759979972</v>
      </c>
      <c r="X419" s="9"/>
      <c r="Y419" s="9">
        <v>2.15707</v>
      </c>
      <c r="AA419">
        <v>812.5</v>
      </c>
      <c r="AG419" s="9"/>
      <c r="AH419">
        <v>85</v>
      </c>
      <c r="AI419">
        <f t="shared" si="49"/>
        <v>0.85</v>
      </c>
    </row>
    <row r="420" spans="1:35" x14ac:dyDescent="0.3">
      <c r="A420" s="15"/>
      <c r="B420" s="1"/>
      <c r="C420" s="1">
        <v>510.77</v>
      </c>
      <c r="D420" s="30">
        <v>0.16642999999999999</v>
      </c>
      <c r="E420" s="25"/>
      <c r="F420" s="25"/>
      <c r="L420" s="26">
        <f t="shared" si="50"/>
        <v>0.14782999999999999</v>
      </c>
      <c r="U420">
        <f t="shared" si="47"/>
        <v>178.53333977436566</v>
      </c>
      <c r="X420" s="9"/>
      <c r="Y420" s="11">
        <v>0.67276999999999998</v>
      </c>
      <c r="AA420">
        <v>812.5</v>
      </c>
      <c r="AG420" s="9"/>
      <c r="AH420">
        <v>22.6</v>
      </c>
      <c r="AI420">
        <f t="shared" si="49"/>
        <v>0.22600000000000001</v>
      </c>
    </row>
    <row r="421" spans="1:35" x14ac:dyDescent="0.3">
      <c r="A421" s="15"/>
      <c r="B421" s="1"/>
      <c r="C421" s="1">
        <v>860.56</v>
      </c>
      <c r="D421" s="33">
        <v>5.2929999999999998E-2</v>
      </c>
      <c r="E421" s="25"/>
      <c r="F421" s="25"/>
      <c r="L421" s="26">
        <f t="shared" si="50"/>
        <v>5.2929999999999998E-2</v>
      </c>
      <c r="U421">
        <f t="shared" si="47"/>
        <v>175.80584171367835</v>
      </c>
      <c r="X421" s="9"/>
      <c r="Y421" s="11">
        <v>0.24462</v>
      </c>
      <c r="AA421">
        <v>812.5</v>
      </c>
      <c r="AG421" s="9"/>
      <c r="AH421">
        <v>12.5</v>
      </c>
      <c r="AI421">
        <f t="shared" si="49"/>
        <v>0.125</v>
      </c>
    </row>
    <row r="422" spans="1:35" x14ac:dyDescent="0.3">
      <c r="A422" s="15">
        <v>37</v>
      </c>
      <c r="B422" s="1" t="s">
        <v>7</v>
      </c>
      <c r="C422" s="1">
        <v>351.93</v>
      </c>
      <c r="D422" s="30">
        <v>3.2606299999999999</v>
      </c>
      <c r="E422" s="25"/>
      <c r="F422" s="25"/>
      <c r="K422">
        <v>37</v>
      </c>
      <c r="L422" s="26">
        <f>D422-I142</f>
        <v>3.2606299999999999</v>
      </c>
      <c r="T422">
        <v>37</v>
      </c>
      <c r="U422">
        <f t="shared" si="47"/>
        <v>584.32661057497012</v>
      </c>
      <c r="X422" s="9" t="s">
        <v>7</v>
      </c>
      <c r="Y422" s="11">
        <v>6.8928799999999999</v>
      </c>
      <c r="AA422">
        <v>1235.25</v>
      </c>
      <c r="AG422" s="9" t="s">
        <v>7</v>
      </c>
      <c r="AH422">
        <v>35.72</v>
      </c>
      <c r="AI422">
        <f>AH422/100</f>
        <v>0.35719999999999996</v>
      </c>
    </row>
    <row r="423" spans="1:35" x14ac:dyDescent="0.3">
      <c r="A423" s="15"/>
      <c r="B423" s="1"/>
      <c r="C423" s="1">
        <v>295.22000000000003</v>
      </c>
      <c r="D423" s="30">
        <v>1.91998</v>
      </c>
      <c r="E423" s="26"/>
      <c r="F423" s="26"/>
      <c r="L423" s="26">
        <f t="shared" ref="L423:L435" si="51">D423-I143</f>
        <v>1.91998</v>
      </c>
      <c r="U423">
        <f t="shared" si="47"/>
        <v>581.24532387324462</v>
      </c>
      <c r="X423" s="9"/>
      <c r="Y423" s="11">
        <v>4.0803000000000003</v>
      </c>
      <c r="AA423">
        <v>1235.25</v>
      </c>
      <c r="AG423" s="9"/>
      <c r="AH423">
        <v>18.47</v>
      </c>
      <c r="AI423">
        <f t="shared" ref="AI423:AI449" si="52">AH423/100</f>
        <v>0.18469999999999998</v>
      </c>
    </row>
    <row r="424" spans="1:35" x14ac:dyDescent="0.3">
      <c r="A424" s="15"/>
      <c r="B424" s="1" t="s">
        <v>8</v>
      </c>
      <c r="C424" s="1">
        <v>609.32000000000005</v>
      </c>
      <c r="D424" s="30">
        <v>2.2785199999999999</v>
      </c>
      <c r="E424" s="18"/>
      <c r="F424" s="18"/>
      <c r="L424" s="26">
        <f t="shared" si="51"/>
        <v>2.2785199999999999</v>
      </c>
      <c r="U424">
        <f t="shared" si="47"/>
        <v>577.21167121264943</v>
      </c>
      <c r="X424" s="9" t="s">
        <v>8</v>
      </c>
      <c r="Y424" s="11">
        <v>4.8761000000000001</v>
      </c>
      <c r="AA424">
        <v>1235.25</v>
      </c>
      <c r="AG424" s="9" t="s">
        <v>8</v>
      </c>
      <c r="AH424">
        <v>45.44</v>
      </c>
      <c r="AI424">
        <f t="shared" si="52"/>
        <v>0.45439999999999997</v>
      </c>
    </row>
    <row r="425" spans="1:35" x14ac:dyDescent="0.3">
      <c r="A425" s="15"/>
      <c r="B425" s="1"/>
      <c r="C425" s="1">
        <v>1764.49</v>
      </c>
      <c r="D425" s="30">
        <v>0.35510999999999998</v>
      </c>
      <c r="E425" s="18"/>
      <c r="F425" s="18"/>
      <c r="L425" s="26">
        <f t="shared" si="51"/>
        <v>0.35510999999999998</v>
      </c>
      <c r="U425">
        <f t="shared" si="47"/>
        <v>575.92777099417049</v>
      </c>
      <c r="X425" s="9"/>
      <c r="Y425" s="11">
        <v>0.76163999999999998</v>
      </c>
      <c r="AA425">
        <v>1235.25</v>
      </c>
      <c r="AG425" s="9"/>
      <c r="AH425">
        <v>15.29</v>
      </c>
      <c r="AI425">
        <f t="shared" si="52"/>
        <v>0.15289999999999998</v>
      </c>
    </row>
    <row r="426" spans="1:35" x14ac:dyDescent="0.3">
      <c r="A426" s="15"/>
      <c r="B426" s="1"/>
      <c r="C426" s="1">
        <v>1120.29</v>
      </c>
      <c r="D426" s="30">
        <v>0.46309</v>
      </c>
      <c r="E426" s="18"/>
      <c r="F426" s="18"/>
      <c r="L426" s="26">
        <f t="shared" si="51"/>
        <v>0.46309</v>
      </c>
      <c r="U426">
        <f t="shared" si="47"/>
        <v>583.20020645358613</v>
      </c>
      <c r="X426" s="9"/>
      <c r="Y426" s="11">
        <v>0.98085</v>
      </c>
      <c r="AA426">
        <v>1235.25</v>
      </c>
      <c r="AG426" s="9"/>
      <c r="AH426">
        <v>14.9</v>
      </c>
      <c r="AI426">
        <f t="shared" si="52"/>
        <v>0.14899999999999999</v>
      </c>
    </row>
    <row r="427" spans="1:35" x14ac:dyDescent="0.3">
      <c r="A427" s="15"/>
      <c r="B427" s="1" t="s">
        <v>9</v>
      </c>
      <c r="C427" s="1">
        <v>1460.82</v>
      </c>
      <c r="D427" s="30">
        <v>3.5299999999999998E-2</v>
      </c>
      <c r="E427" s="25"/>
      <c r="F427" s="25"/>
      <c r="L427" s="26">
        <f t="shared" si="51"/>
        <v>3.0881510709999997E-2</v>
      </c>
      <c r="X427" s="9" t="s">
        <v>9</v>
      </c>
      <c r="Y427" s="9">
        <v>1.74254</v>
      </c>
      <c r="AA427">
        <v>3545</v>
      </c>
      <c r="AG427" s="9" t="s">
        <v>9</v>
      </c>
      <c r="AH427">
        <v>10.66</v>
      </c>
      <c r="AI427">
        <f t="shared" si="52"/>
        <v>0.1066</v>
      </c>
    </row>
    <row r="428" spans="1:35" x14ac:dyDescent="0.3">
      <c r="A428" s="15"/>
      <c r="B428" s="1" t="s">
        <v>10</v>
      </c>
      <c r="C428" s="1">
        <v>238.63</v>
      </c>
      <c r="D428" s="30">
        <v>6.2031200000000002</v>
      </c>
      <c r="E428" s="25"/>
      <c r="F428" s="18"/>
      <c r="L428" s="26">
        <f t="shared" si="51"/>
        <v>6.2031200000000002</v>
      </c>
      <c r="X428" s="9" t="s">
        <v>10</v>
      </c>
      <c r="Y428" s="11">
        <v>7.7333699999999999</v>
      </c>
      <c r="AA428">
        <v>812.5</v>
      </c>
      <c r="AG428" s="9" t="s">
        <v>10</v>
      </c>
      <c r="AH428">
        <v>43.6</v>
      </c>
      <c r="AI428">
        <f t="shared" si="52"/>
        <v>0.436</v>
      </c>
    </row>
    <row r="429" spans="1:35" x14ac:dyDescent="0.3">
      <c r="A429" s="15"/>
      <c r="B429" s="1" t="s">
        <v>11</v>
      </c>
      <c r="C429" s="1">
        <v>911.21</v>
      </c>
      <c r="D429" s="30">
        <v>1.15089</v>
      </c>
      <c r="E429" s="25"/>
      <c r="F429" s="25"/>
      <c r="L429" s="26">
        <f t="shared" si="51"/>
        <v>1.15089</v>
      </c>
      <c r="X429" s="9" t="s">
        <v>11</v>
      </c>
      <c r="Y429" s="11">
        <v>1.39327</v>
      </c>
      <c r="AA429">
        <v>812.5</v>
      </c>
      <c r="AG429" s="9" t="s">
        <v>11</v>
      </c>
      <c r="AH429">
        <v>25.8</v>
      </c>
      <c r="AI429">
        <f t="shared" si="52"/>
        <v>0.25800000000000001</v>
      </c>
    </row>
    <row r="430" spans="1:35" x14ac:dyDescent="0.3">
      <c r="A430" s="15"/>
      <c r="B430" s="1"/>
      <c r="C430" s="1">
        <v>968.97</v>
      </c>
      <c r="D430" s="30">
        <v>0.66501999999999994</v>
      </c>
      <c r="E430" s="18"/>
      <c r="F430" s="18"/>
      <c r="L430" s="26">
        <f t="shared" si="51"/>
        <v>0.66501999999999994</v>
      </c>
      <c r="X430" s="9"/>
      <c r="Y430" s="11">
        <v>0.80701000000000001</v>
      </c>
      <c r="AA430">
        <v>812.5</v>
      </c>
      <c r="AG430" s="9"/>
      <c r="AH430">
        <v>15.8</v>
      </c>
      <c r="AI430">
        <f t="shared" si="52"/>
        <v>0.158</v>
      </c>
    </row>
    <row r="431" spans="1:35" x14ac:dyDescent="0.3">
      <c r="A431" s="15"/>
      <c r="B431" s="1"/>
      <c r="C431" s="1">
        <v>338.32</v>
      </c>
      <c r="D431" s="30">
        <v>1.1526799999999999</v>
      </c>
      <c r="E431" s="18"/>
      <c r="F431" s="25"/>
      <c r="L431" s="26">
        <f t="shared" si="51"/>
        <v>1.1526799999999999</v>
      </c>
      <c r="X431" s="9"/>
      <c r="Y431" s="11">
        <v>1.42353</v>
      </c>
      <c r="AA431">
        <v>812.5</v>
      </c>
      <c r="AG431" s="9"/>
      <c r="AH431">
        <v>11.27</v>
      </c>
      <c r="AI431">
        <f t="shared" si="52"/>
        <v>0.11269999999999999</v>
      </c>
    </row>
    <row r="432" spans="1:35" x14ac:dyDescent="0.3">
      <c r="A432" s="15"/>
      <c r="B432" s="1" t="s">
        <v>12</v>
      </c>
      <c r="C432" s="1">
        <v>2614.5300000000002</v>
      </c>
      <c r="D432" s="30">
        <v>0.58709999999999996</v>
      </c>
      <c r="E432" s="25"/>
      <c r="F432" s="18"/>
      <c r="L432" s="26">
        <f t="shared" si="51"/>
        <v>0.58174577201</v>
      </c>
      <c r="U432">
        <f t="shared" si="47"/>
        <v>674.86463221651513</v>
      </c>
      <c r="X432" s="9" t="s">
        <v>12</v>
      </c>
      <c r="Y432" s="11">
        <v>0.70038999999999996</v>
      </c>
      <c r="AA432">
        <v>812.5</v>
      </c>
      <c r="AG432" s="9" t="s">
        <v>12</v>
      </c>
      <c r="AH432">
        <v>99.754000000000005</v>
      </c>
      <c r="AI432">
        <f t="shared" si="52"/>
        <v>0.99754000000000009</v>
      </c>
    </row>
    <row r="433" spans="1:35" x14ac:dyDescent="0.3">
      <c r="A433" s="15"/>
      <c r="B433" s="1"/>
      <c r="C433" s="1">
        <v>583.19000000000005</v>
      </c>
      <c r="D433" s="30">
        <v>1.7882499999999999</v>
      </c>
      <c r="E433" s="18"/>
      <c r="F433" s="18"/>
      <c r="L433" s="26">
        <f t="shared" si="51"/>
        <v>1.7882499999999999</v>
      </c>
      <c r="U433">
        <f t="shared" si="47"/>
        <v>673.57717876564038</v>
      </c>
      <c r="X433" s="9"/>
      <c r="Y433" s="9">
        <v>2.15707</v>
      </c>
      <c r="AA433">
        <v>812.5</v>
      </c>
      <c r="AG433" s="9"/>
      <c r="AH433">
        <v>85</v>
      </c>
      <c r="AI433">
        <f t="shared" si="52"/>
        <v>0.85</v>
      </c>
    </row>
    <row r="434" spans="1:35" x14ac:dyDescent="0.3">
      <c r="A434" s="15"/>
      <c r="B434" s="1"/>
      <c r="C434" s="1">
        <v>510.77</v>
      </c>
      <c r="D434" s="30">
        <v>0.56976000000000004</v>
      </c>
      <c r="E434" s="25"/>
      <c r="F434" s="25"/>
      <c r="L434" s="26">
        <f t="shared" si="51"/>
        <v>0.56976000000000004</v>
      </c>
      <c r="U434">
        <f t="shared" si="47"/>
        <v>688.09548582725165</v>
      </c>
      <c r="X434" s="9"/>
      <c r="Y434" s="11">
        <v>0.67276999999999998</v>
      </c>
      <c r="AA434">
        <v>812.5</v>
      </c>
      <c r="AG434" s="9"/>
      <c r="AH434">
        <v>22.6</v>
      </c>
      <c r="AI434">
        <f t="shared" si="52"/>
        <v>0.22600000000000001</v>
      </c>
    </row>
    <row r="435" spans="1:35" x14ac:dyDescent="0.3">
      <c r="A435" s="15"/>
      <c r="B435" s="1"/>
      <c r="C435" s="1">
        <v>860.56</v>
      </c>
      <c r="D435" s="30">
        <v>0.19975999999999999</v>
      </c>
      <c r="E435" s="18"/>
      <c r="F435" s="18"/>
      <c r="L435" s="26">
        <f t="shared" si="51"/>
        <v>0.19975999999999999</v>
      </c>
      <c r="U435">
        <f t="shared" si="47"/>
        <v>663.49848744992232</v>
      </c>
      <c r="X435" s="9"/>
      <c r="Y435" s="11">
        <v>0.24462</v>
      </c>
      <c r="AA435">
        <v>812.5</v>
      </c>
      <c r="AG435" s="9"/>
      <c r="AH435">
        <v>12.5</v>
      </c>
      <c r="AI435">
        <f t="shared" si="52"/>
        <v>0.125</v>
      </c>
    </row>
    <row r="436" spans="1:35" x14ac:dyDescent="0.3">
      <c r="A436" s="21">
        <v>38</v>
      </c>
      <c r="B436" s="1" t="s">
        <v>7</v>
      </c>
      <c r="C436" s="1">
        <v>351.93</v>
      </c>
      <c r="D436" s="30">
        <v>1.1753</v>
      </c>
      <c r="E436" s="25"/>
      <c r="F436" s="18"/>
      <c r="K436">
        <v>38</v>
      </c>
      <c r="L436" s="26">
        <f>D436-I142</f>
        <v>1.1753</v>
      </c>
      <c r="T436">
        <v>38</v>
      </c>
      <c r="U436">
        <f t="shared" si="47"/>
        <v>210.62158705794965</v>
      </c>
      <c r="X436" s="9" t="s">
        <v>7</v>
      </c>
      <c r="Y436" s="11">
        <v>6.8928799999999999</v>
      </c>
      <c r="AA436">
        <v>1235.25</v>
      </c>
      <c r="AG436" s="9" t="s">
        <v>7</v>
      </c>
      <c r="AH436">
        <v>35.72</v>
      </c>
      <c r="AI436">
        <f>AH436/100</f>
        <v>0.35719999999999996</v>
      </c>
    </row>
    <row r="437" spans="1:35" x14ac:dyDescent="0.3">
      <c r="A437" s="15"/>
      <c r="B437" s="1"/>
      <c r="C437" s="1">
        <v>295.22000000000003</v>
      </c>
      <c r="D437" s="30">
        <v>0.69269000000000003</v>
      </c>
      <c r="E437" s="25"/>
      <c r="F437" s="25"/>
      <c r="L437" s="26">
        <f t="shared" ref="L437:L449" si="53">D437-I143</f>
        <v>0.69269000000000003</v>
      </c>
      <c r="U437">
        <f t="shared" si="47"/>
        <v>209.70157157561943</v>
      </c>
      <c r="X437" s="9"/>
      <c r="Y437" s="11">
        <v>4.0803000000000003</v>
      </c>
      <c r="AA437">
        <v>1235.25</v>
      </c>
      <c r="AG437" s="9"/>
      <c r="AH437">
        <v>18.47</v>
      </c>
      <c r="AI437">
        <f t="shared" si="52"/>
        <v>0.18469999999999998</v>
      </c>
    </row>
    <row r="438" spans="1:35" x14ac:dyDescent="0.3">
      <c r="A438" s="15"/>
      <c r="B438" s="1" t="s">
        <v>8</v>
      </c>
      <c r="C438" s="1">
        <v>609.32000000000005</v>
      </c>
      <c r="D438" s="30">
        <v>0.81860999999999995</v>
      </c>
      <c r="E438" s="18"/>
      <c r="F438" s="18"/>
      <c r="L438" s="26">
        <f t="shared" si="53"/>
        <v>0.81860999999999995</v>
      </c>
      <c r="U438">
        <f t="shared" si="47"/>
        <v>207.37638737925801</v>
      </c>
      <c r="X438" s="9" t="s">
        <v>8</v>
      </c>
      <c r="Y438" s="11">
        <v>4.8761000000000001</v>
      </c>
      <c r="AA438">
        <v>1235.25</v>
      </c>
      <c r="AG438" s="9" t="s">
        <v>8</v>
      </c>
      <c r="AH438">
        <v>45.44</v>
      </c>
      <c r="AI438">
        <f t="shared" si="52"/>
        <v>0.45439999999999997</v>
      </c>
    </row>
    <row r="439" spans="1:35" x14ac:dyDescent="0.3">
      <c r="A439" s="15"/>
      <c r="B439" s="1"/>
      <c r="C439" s="1">
        <v>1764.49</v>
      </c>
      <c r="D439" s="33">
        <v>0.23547000000000001</v>
      </c>
      <c r="E439" s="18"/>
      <c r="F439" s="18"/>
      <c r="L439" s="26">
        <f t="shared" si="53"/>
        <v>0.23547000000000001</v>
      </c>
      <c r="U439">
        <f t="shared" si="47"/>
        <v>381.89212423192066</v>
      </c>
      <c r="X439" s="9"/>
      <c r="Y439" s="11">
        <v>0.76163999999999998</v>
      </c>
      <c r="AA439">
        <v>1235.25</v>
      </c>
      <c r="AG439" s="9"/>
      <c r="AH439">
        <v>15.29</v>
      </c>
      <c r="AI439">
        <f t="shared" si="52"/>
        <v>0.15289999999999998</v>
      </c>
    </row>
    <row r="440" spans="1:35" x14ac:dyDescent="0.3">
      <c r="A440" s="15"/>
      <c r="B440" s="1"/>
      <c r="C440" s="1">
        <v>1120.29</v>
      </c>
      <c r="D440" s="30">
        <v>0.17161999999999999</v>
      </c>
      <c r="E440" s="25"/>
      <c r="F440" s="25"/>
      <c r="L440" s="26">
        <f t="shared" si="53"/>
        <v>0.17161999999999999</v>
      </c>
      <c r="U440">
        <f t="shared" si="47"/>
        <v>216.13254320232451</v>
      </c>
      <c r="X440" s="9"/>
      <c r="Y440" s="11">
        <v>0.98085</v>
      </c>
      <c r="AA440">
        <v>1235.25</v>
      </c>
      <c r="AG440" s="9"/>
      <c r="AH440">
        <v>14.9</v>
      </c>
      <c r="AI440">
        <f t="shared" si="52"/>
        <v>0.14899999999999999</v>
      </c>
    </row>
    <row r="441" spans="1:35" x14ac:dyDescent="0.3">
      <c r="A441" s="15"/>
      <c r="B441" s="1" t="s">
        <v>9</v>
      </c>
      <c r="C441" s="1">
        <v>1460.82</v>
      </c>
      <c r="D441" s="30">
        <v>4.6440000000000002E-2</v>
      </c>
      <c r="E441" s="26"/>
      <c r="F441" s="26"/>
      <c r="L441" s="26">
        <f t="shared" si="53"/>
        <v>4.2021510710000001E-2</v>
      </c>
      <c r="X441" s="9" t="s">
        <v>9</v>
      </c>
      <c r="Y441" s="9">
        <v>1.74254</v>
      </c>
      <c r="AA441">
        <v>3545</v>
      </c>
      <c r="AG441" s="9" t="s">
        <v>9</v>
      </c>
      <c r="AH441">
        <v>10.66</v>
      </c>
      <c r="AI441">
        <f t="shared" si="52"/>
        <v>0.1066</v>
      </c>
    </row>
    <row r="442" spans="1:35" x14ac:dyDescent="0.3">
      <c r="A442" s="15"/>
      <c r="B442" s="1" t="s">
        <v>10</v>
      </c>
      <c r="C442" s="1">
        <v>238.63</v>
      </c>
      <c r="D442" s="30">
        <v>2.5087999999999999</v>
      </c>
      <c r="E442" s="25"/>
      <c r="F442" s="25"/>
      <c r="L442" s="26">
        <f t="shared" si="53"/>
        <v>2.5087999999999999</v>
      </c>
      <c r="X442" s="9" t="s">
        <v>10</v>
      </c>
      <c r="Y442" s="11">
        <v>7.7333699999999999</v>
      </c>
      <c r="AA442">
        <v>812.5</v>
      </c>
      <c r="AG442" s="9" t="s">
        <v>10</v>
      </c>
      <c r="AH442">
        <v>43.6</v>
      </c>
      <c r="AI442">
        <f t="shared" si="52"/>
        <v>0.436</v>
      </c>
    </row>
    <row r="443" spans="1:35" x14ac:dyDescent="0.3">
      <c r="A443" s="15"/>
      <c r="B443" s="1" t="s">
        <v>11</v>
      </c>
      <c r="C443" s="1">
        <v>911.21</v>
      </c>
      <c r="D443" s="33">
        <v>0.47437000000000001</v>
      </c>
      <c r="E443" s="25"/>
      <c r="F443" s="25"/>
      <c r="L443" s="26">
        <f t="shared" si="53"/>
        <v>0.47437000000000001</v>
      </c>
      <c r="X443" s="9" t="s">
        <v>11</v>
      </c>
      <c r="Y443" s="11">
        <v>1.39327</v>
      </c>
      <c r="AA443">
        <v>812.5</v>
      </c>
      <c r="AG443" s="9" t="s">
        <v>11</v>
      </c>
      <c r="AH443">
        <v>25.8</v>
      </c>
      <c r="AI443">
        <f t="shared" si="52"/>
        <v>0.25800000000000001</v>
      </c>
    </row>
    <row r="444" spans="1:35" x14ac:dyDescent="0.3">
      <c r="A444" s="15"/>
      <c r="B444" s="1"/>
      <c r="C444" s="1">
        <v>968.97</v>
      </c>
      <c r="D444" s="30">
        <v>0.27714</v>
      </c>
      <c r="E444" s="18"/>
      <c r="F444" s="18"/>
      <c r="L444" s="26">
        <f t="shared" si="53"/>
        <v>0.27714</v>
      </c>
      <c r="X444" s="9"/>
      <c r="Y444" s="11">
        <v>0.80701000000000001</v>
      </c>
      <c r="AA444">
        <v>812.5</v>
      </c>
      <c r="AG444" s="9"/>
      <c r="AH444">
        <v>15.8</v>
      </c>
      <c r="AI444">
        <f t="shared" si="52"/>
        <v>0.158</v>
      </c>
    </row>
    <row r="445" spans="1:35" x14ac:dyDescent="0.3">
      <c r="A445" s="15"/>
      <c r="B445" s="1"/>
      <c r="C445" s="1">
        <v>338.32</v>
      </c>
      <c r="D445" s="30">
        <v>0.48300999999999999</v>
      </c>
      <c r="E445" s="25"/>
      <c r="F445" s="25"/>
      <c r="L445" s="26">
        <f t="shared" si="53"/>
        <v>0.48300999999999999</v>
      </c>
      <c r="X445" s="9"/>
      <c r="Y445" s="11">
        <v>1.42353</v>
      </c>
      <c r="AA445">
        <v>812.5</v>
      </c>
      <c r="AG445" s="9"/>
      <c r="AH445">
        <v>11.27</v>
      </c>
      <c r="AI445">
        <f t="shared" si="52"/>
        <v>0.11269999999999999</v>
      </c>
    </row>
    <row r="446" spans="1:35" x14ac:dyDescent="0.3">
      <c r="A446" s="15"/>
      <c r="B446" s="1" t="s">
        <v>12</v>
      </c>
      <c r="C446" s="1">
        <v>2614.5300000000002</v>
      </c>
      <c r="D446" s="30">
        <v>0.23547000000000001</v>
      </c>
      <c r="E446" s="25"/>
      <c r="F446" s="25"/>
      <c r="L446" s="26">
        <f t="shared" si="53"/>
        <v>0.23011577201000002</v>
      </c>
      <c r="U446">
        <f t="shared" si="47"/>
        <v>266.94993469085085</v>
      </c>
      <c r="X446" s="9" t="s">
        <v>12</v>
      </c>
      <c r="Y446" s="11">
        <v>0.70038999999999996</v>
      </c>
      <c r="AA446">
        <v>812.5</v>
      </c>
      <c r="AG446" s="9" t="s">
        <v>12</v>
      </c>
      <c r="AH446">
        <v>99.754000000000005</v>
      </c>
      <c r="AI446">
        <f t="shared" si="52"/>
        <v>0.99754000000000009</v>
      </c>
    </row>
    <row r="447" spans="1:35" x14ac:dyDescent="0.3">
      <c r="A447" s="15"/>
      <c r="B447" s="1"/>
      <c r="C447" s="1">
        <v>583.19000000000005</v>
      </c>
      <c r="D447" s="30">
        <v>0.71806999999999999</v>
      </c>
      <c r="E447" s="18"/>
      <c r="F447" s="18"/>
      <c r="L447" s="26">
        <f t="shared" si="53"/>
        <v>0.71806999999999999</v>
      </c>
      <c r="U447">
        <f t="shared" si="47"/>
        <v>270.47424283866542</v>
      </c>
      <c r="X447" s="9"/>
      <c r="Y447" s="9">
        <v>2.15707</v>
      </c>
      <c r="AA447">
        <v>812.5</v>
      </c>
      <c r="AG447" s="9"/>
      <c r="AH447">
        <v>85</v>
      </c>
      <c r="AI447">
        <f t="shared" si="52"/>
        <v>0.85</v>
      </c>
    </row>
    <row r="448" spans="1:35" x14ac:dyDescent="0.3">
      <c r="A448" s="15"/>
      <c r="B448" s="1"/>
      <c r="C448" s="1">
        <v>510.77</v>
      </c>
      <c r="D448" s="30">
        <v>0.23882999999999999</v>
      </c>
      <c r="E448" s="25"/>
      <c r="F448" s="25"/>
      <c r="L448" s="26">
        <f t="shared" si="53"/>
        <v>0.23882999999999999</v>
      </c>
      <c r="U448">
        <f t="shared" si="47"/>
        <v>288.43345422655591</v>
      </c>
      <c r="X448" s="9"/>
      <c r="Y448" s="11">
        <v>0.67276999999999998</v>
      </c>
      <c r="AA448">
        <v>812.5</v>
      </c>
      <c r="AG448" s="9"/>
      <c r="AH448">
        <v>22.6</v>
      </c>
      <c r="AI448">
        <f t="shared" si="52"/>
        <v>0.22600000000000001</v>
      </c>
    </row>
    <row r="449" spans="1:35" x14ac:dyDescent="0.3">
      <c r="A449" s="15"/>
      <c r="B449" s="1"/>
      <c r="C449" s="1">
        <v>860.56</v>
      </c>
      <c r="D449" s="30">
        <v>8.3799999999999999E-2</v>
      </c>
      <c r="E449" s="25"/>
      <c r="F449" s="25"/>
      <c r="L449" s="26">
        <f t="shared" si="53"/>
        <v>8.3799999999999999E-2</v>
      </c>
      <c r="U449">
        <f t="shared" si="47"/>
        <v>278.33987409042595</v>
      </c>
      <c r="X449" s="9"/>
      <c r="Y449" s="11">
        <v>0.24462</v>
      </c>
      <c r="AA449">
        <v>812.5</v>
      </c>
      <c r="AG449" s="9"/>
      <c r="AH449">
        <v>12.5</v>
      </c>
      <c r="AI449">
        <f t="shared" si="52"/>
        <v>0.125</v>
      </c>
    </row>
    <row r="450" spans="1:35" x14ac:dyDescent="0.3">
      <c r="A450" s="15">
        <v>39</v>
      </c>
      <c r="B450" s="1" t="s">
        <v>7</v>
      </c>
      <c r="C450" s="1">
        <v>351.93</v>
      </c>
      <c r="D450" s="30">
        <v>0.71184000000000003</v>
      </c>
      <c r="E450" s="25"/>
      <c r="F450" s="25"/>
      <c r="K450">
        <v>39</v>
      </c>
      <c r="L450" s="26">
        <f>D450-I142</f>
        <v>0.71184000000000003</v>
      </c>
      <c r="T450">
        <v>39</v>
      </c>
      <c r="U450">
        <f t="shared" si="47"/>
        <v>127.5664685878762</v>
      </c>
      <c r="X450" s="9" t="s">
        <v>7</v>
      </c>
      <c r="Y450" s="11">
        <v>6.8928799999999999</v>
      </c>
      <c r="AA450">
        <v>1235.25</v>
      </c>
      <c r="AG450" s="9" t="s">
        <v>7</v>
      </c>
      <c r="AH450">
        <v>35.72</v>
      </c>
      <c r="AI450">
        <f>AH450/100</f>
        <v>0.35719999999999996</v>
      </c>
    </row>
    <row r="451" spans="1:35" x14ac:dyDescent="0.3">
      <c r="A451" s="15"/>
      <c r="B451" s="1"/>
      <c r="C451" s="1">
        <v>295.22000000000003</v>
      </c>
      <c r="D451" s="30">
        <v>0.41313</v>
      </c>
      <c r="E451" s="25"/>
      <c r="F451" s="25"/>
      <c r="L451" s="26">
        <f t="shared" ref="L451:L463" si="54">D451-I143</f>
        <v>0.41313</v>
      </c>
      <c r="U451">
        <f t="shared" ref="U451:U510" si="55">(L451/Y451)*AA451</f>
        <v>125.06894897434012</v>
      </c>
      <c r="X451" s="9"/>
      <c r="Y451" s="11">
        <v>4.0803000000000003</v>
      </c>
      <c r="AA451">
        <v>1235.25</v>
      </c>
      <c r="AG451" s="9"/>
      <c r="AH451">
        <v>18.47</v>
      </c>
      <c r="AI451">
        <f t="shared" ref="AI451:AI477" si="56">AH451/100</f>
        <v>0.18469999999999998</v>
      </c>
    </row>
    <row r="452" spans="1:35" x14ac:dyDescent="0.3">
      <c r="A452" s="15"/>
      <c r="B452" s="1" t="s">
        <v>8</v>
      </c>
      <c r="C452" s="1">
        <v>609.32000000000005</v>
      </c>
      <c r="D452" s="30">
        <v>0.49719000000000002</v>
      </c>
      <c r="E452" s="25"/>
      <c r="F452" s="18"/>
      <c r="L452" s="26">
        <f t="shared" si="54"/>
        <v>0.49719000000000002</v>
      </c>
      <c r="U452">
        <f t="shared" si="55"/>
        <v>125.95187701236644</v>
      </c>
      <c r="X452" s="9" t="s">
        <v>8</v>
      </c>
      <c r="Y452" s="11">
        <v>4.8761000000000001</v>
      </c>
      <c r="AA452">
        <v>1235.25</v>
      </c>
      <c r="AG452" s="9" t="s">
        <v>8</v>
      </c>
      <c r="AH452">
        <v>45.44</v>
      </c>
      <c r="AI452">
        <f t="shared" si="56"/>
        <v>0.45439999999999997</v>
      </c>
    </row>
    <row r="453" spans="1:35" x14ac:dyDescent="0.3">
      <c r="A453" s="15"/>
      <c r="B453" s="1"/>
      <c r="C453" s="1">
        <v>1764.49</v>
      </c>
      <c r="D453" s="30">
        <v>7.6560000000000003E-2</v>
      </c>
      <c r="E453" s="25"/>
      <c r="F453" s="18"/>
      <c r="L453" s="26">
        <f t="shared" si="54"/>
        <v>7.6560000000000003E-2</v>
      </c>
      <c r="U453">
        <f t="shared" si="55"/>
        <v>124.16724436741769</v>
      </c>
      <c r="X453" s="9"/>
      <c r="Y453" s="11">
        <v>0.76163999999999998</v>
      </c>
      <c r="AA453">
        <v>1235.25</v>
      </c>
      <c r="AG453" s="9"/>
      <c r="AH453">
        <v>15.29</v>
      </c>
      <c r="AI453">
        <f t="shared" si="56"/>
        <v>0.15289999999999998</v>
      </c>
    </row>
    <row r="454" spans="1:35" x14ac:dyDescent="0.3">
      <c r="A454" s="15"/>
      <c r="B454" s="1"/>
      <c r="C454" s="1">
        <v>1120.29</v>
      </c>
      <c r="D454" s="30">
        <v>9.3439999999999995E-2</v>
      </c>
      <c r="E454" s="25"/>
      <c r="F454" s="25"/>
      <c r="L454" s="26">
        <f t="shared" si="54"/>
        <v>9.3439999999999995E-2</v>
      </c>
      <c r="U454">
        <f t="shared" si="55"/>
        <v>117.6752408625172</v>
      </c>
      <c r="X454" s="9"/>
      <c r="Y454" s="11">
        <v>0.98085</v>
      </c>
      <c r="AA454">
        <v>1235.25</v>
      </c>
      <c r="AG454" s="9"/>
      <c r="AH454">
        <v>14.9</v>
      </c>
      <c r="AI454">
        <f t="shared" si="56"/>
        <v>0.14899999999999999</v>
      </c>
    </row>
    <row r="455" spans="1:35" x14ac:dyDescent="0.3">
      <c r="A455" s="15"/>
      <c r="B455" s="1" t="s">
        <v>9</v>
      </c>
      <c r="C455" s="1">
        <v>1460.82</v>
      </c>
      <c r="D455" s="30">
        <v>3.1759999999999997E-2</v>
      </c>
      <c r="E455" s="25"/>
      <c r="F455" s="25"/>
      <c r="L455" s="26">
        <f t="shared" si="54"/>
        <v>2.7341510709999996E-2</v>
      </c>
      <c r="X455" s="9" t="s">
        <v>9</v>
      </c>
      <c r="Y455" s="9">
        <v>1.74254</v>
      </c>
      <c r="AA455">
        <v>3545</v>
      </c>
      <c r="AG455" s="9" t="s">
        <v>9</v>
      </c>
      <c r="AH455">
        <v>10.66</v>
      </c>
      <c r="AI455">
        <f t="shared" si="56"/>
        <v>0.1066</v>
      </c>
    </row>
    <row r="456" spans="1:35" x14ac:dyDescent="0.3">
      <c r="A456" s="15"/>
      <c r="B456" s="1" t="s">
        <v>10</v>
      </c>
      <c r="C456" s="1">
        <v>238.63</v>
      </c>
      <c r="D456" s="30">
        <v>2.4985200000000001</v>
      </c>
      <c r="E456" s="25"/>
      <c r="F456" s="25"/>
      <c r="L456" s="26">
        <f t="shared" si="54"/>
        <v>2.4985200000000001</v>
      </c>
      <c r="X456" s="9" t="s">
        <v>10</v>
      </c>
      <c r="Y456" s="11">
        <v>7.7333699999999999</v>
      </c>
      <c r="AA456">
        <v>812.5</v>
      </c>
      <c r="AG456" s="9" t="s">
        <v>10</v>
      </c>
      <c r="AH456">
        <v>43.6</v>
      </c>
      <c r="AI456">
        <f t="shared" si="56"/>
        <v>0.436</v>
      </c>
    </row>
    <row r="457" spans="1:35" x14ac:dyDescent="0.3">
      <c r="A457" s="15"/>
      <c r="B457" s="1" t="s">
        <v>11</v>
      </c>
      <c r="C457" s="1">
        <v>911.21</v>
      </c>
      <c r="D457" s="30">
        <v>0.41253000000000001</v>
      </c>
      <c r="E457" s="25"/>
      <c r="F457" s="25"/>
      <c r="L457" s="26">
        <f t="shared" si="54"/>
        <v>0.41253000000000001</v>
      </c>
      <c r="X457" s="9" t="s">
        <v>11</v>
      </c>
      <c r="Y457" s="11">
        <v>1.39327</v>
      </c>
      <c r="AA457">
        <v>812.5</v>
      </c>
      <c r="AG457" s="9" t="s">
        <v>11</v>
      </c>
      <c r="AH457">
        <v>25.8</v>
      </c>
      <c r="AI457">
        <f t="shared" si="56"/>
        <v>0.25800000000000001</v>
      </c>
    </row>
    <row r="458" spans="1:35" x14ac:dyDescent="0.3">
      <c r="A458" s="15"/>
      <c r="B458" s="1"/>
      <c r="C458" s="1">
        <v>968.97</v>
      </c>
      <c r="D458" s="30">
        <v>0.23554</v>
      </c>
      <c r="E458" s="18"/>
      <c r="F458" s="18"/>
      <c r="L458" s="26">
        <f t="shared" si="54"/>
        <v>0.23554</v>
      </c>
      <c r="X458" s="9"/>
      <c r="Y458" s="11">
        <v>0.80701000000000001</v>
      </c>
      <c r="AA458">
        <v>812.5</v>
      </c>
      <c r="AG458" s="9"/>
      <c r="AH458">
        <v>15.8</v>
      </c>
      <c r="AI458">
        <f t="shared" si="56"/>
        <v>0.158</v>
      </c>
    </row>
    <row r="459" spans="1:35" x14ac:dyDescent="0.3">
      <c r="A459" s="15"/>
      <c r="B459" s="1"/>
      <c r="C459" s="1">
        <v>338.32</v>
      </c>
      <c r="D459" s="30">
        <v>0.42020999999999997</v>
      </c>
      <c r="E459" s="25"/>
      <c r="F459" s="25"/>
      <c r="L459" s="26">
        <f t="shared" si="54"/>
        <v>0.42020999999999997</v>
      </c>
      <c r="X459" s="9"/>
      <c r="Y459" s="11">
        <v>1.42353</v>
      </c>
      <c r="AA459">
        <v>812.5</v>
      </c>
      <c r="AG459" s="9"/>
      <c r="AH459">
        <v>11.27</v>
      </c>
      <c r="AI459">
        <f t="shared" si="56"/>
        <v>0.11269999999999999</v>
      </c>
    </row>
    <row r="460" spans="1:35" x14ac:dyDescent="0.3">
      <c r="A460" s="15"/>
      <c r="B460" s="1" t="s">
        <v>12</v>
      </c>
      <c r="C460" s="1">
        <v>2614.5300000000002</v>
      </c>
      <c r="D460" s="30">
        <v>0.20305000000000001</v>
      </c>
      <c r="E460" s="25"/>
      <c r="F460" s="25"/>
      <c r="L460" s="26">
        <f t="shared" si="54"/>
        <v>0.19769577201000002</v>
      </c>
      <c r="U460">
        <f t="shared" si="55"/>
        <v>229.34053135842177</v>
      </c>
      <c r="X460" s="9" t="s">
        <v>12</v>
      </c>
      <c r="Y460" s="11">
        <v>0.70038999999999996</v>
      </c>
      <c r="AA460">
        <v>812.5</v>
      </c>
      <c r="AG460" s="9" t="s">
        <v>12</v>
      </c>
      <c r="AH460">
        <v>99.754000000000005</v>
      </c>
      <c r="AI460">
        <f t="shared" si="56"/>
        <v>0.99754000000000009</v>
      </c>
    </row>
    <row r="461" spans="1:35" x14ac:dyDescent="0.3">
      <c r="A461" s="15"/>
      <c r="B461" s="1"/>
      <c r="C461" s="1">
        <v>583.19000000000005</v>
      </c>
      <c r="D461" s="30">
        <v>0.64509000000000005</v>
      </c>
      <c r="E461" s="25"/>
      <c r="F461" s="18"/>
      <c r="L461" s="26">
        <f t="shared" si="54"/>
        <v>0.64509000000000005</v>
      </c>
      <c r="U461">
        <f t="shared" si="55"/>
        <v>242.98498657901692</v>
      </c>
      <c r="X461" s="9"/>
      <c r="Y461" s="9">
        <v>2.15707</v>
      </c>
      <c r="AA461">
        <v>812.5</v>
      </c>
      <c r="AG461" s="9"/>
      <c r="AH461">
        <v>85</v>
      </c>
      <c r="AI461">
        <f t="shared" si="56"/>
        <v>0.85</v>
      </c>
    </row>
    <row r="462" spans="1:35" x14ac:dyDescent="0.3">
      <c r="A462" s="15"/>
      <c r="B462" s="1"/>
      <c r="C462" s="1">
        <v>510.77</v>
      </c>
      <c r="D462" s="30">
        <v>0.21481</v>
      </c>
      <c r="E462" s="25"/>
      <c r="F462" s="25"/>
      <c r="L462" s="26">
        <f t="shared" si="54"/>
        <v>0.21481</v>
      </c>
      <c r="U462">
        <f t="shared" si="55"/>
        <v>259.42465478543932</v>
      </c>
      <c r="X462" s="9"/>
      <c r="Y462" s="11">
        <v>0.67276999999999998</v>
      </c>
      <c r="AA462">
        <v>812.5</v>
      </c>
      <c r="AG462" s="9"/>
      <c r="AH462">
        <v>22.6</v>
      </c>
      <c r="AI462">
        <f t="shared" si="56"/>
        <v>0.22600000000000001</v>
      </c>
    </row>
    <row r="463" spans="1:35" x14ac:dyDescent="0.3">
      <c r="A463" s="15"/>
      <c r="B463" s="1"/>
      <c r="C463" s="1">
        <v>860.56</v>
      </c>
      <c r="D463" s="30">
        <v>7.0809999999999998E-2</v>
      </c>
      <c r="E463" s="25"/>
      <c r="F463" s="20"/>
      <c r="L463" s="26">
        <f t="shared" si="54"/>
        <v>7.0809999999999998E-2</v>
      </c>
      <c r="U463">
        <f t="shared" si="55"/>
        <v>235.19387212819885</v>
      </c>
      <c r="X463" s="9"/>
      <c r="Y463" s="11">
        <v>0.24462</v>
      </c>
      <c r="AA463">
        <v>812.5</v>
      </c>
      <c r="AG463" s="9"/>
      <c r="AH463">
        <v>12.5</v>
      </c>
      <c r="AI463">
        <f t="shared" si="56"/>
        <v>0.125</v>
      </c>
    </row>
    <row r="464" spans="1:35" x14ac:dyDescent="0.3">
      <c r="A464" s="15">
        <v>40</v>
      </c>
      <c r="B464" s="1" t="s">
        <v>7</v>
      </c>
      <c r="C464" s="1">
        <v>351.93</v>
      </c>
      <c r="D464" s="30">
        <v>0.39842</v>
      </c>
      <c r="E464" s="25"/>
      <c r="F464" s="25"/>
      <c r="K464">
        <v>40</v>
      </c>
      <c r="L464" s="26">
        <f>D464-I156</f>
        <v>0.39842</v>
      </c>
      <c r="T464">
        <v>40</v>
      </c>
      <c r="U464">
        <f t="shared" si="55"/>
        <v>71.399517328025439</v>
      </c>
      <c r="X464" s="9" t="s">
        <v>7</v>
      </c>
      <c r="Y464" s="11">
        <v>6.8928799999999999</v>
      </c>
      <c r="AA464">
        <v>1235.25</v>
      </c>
      <c r="AG464" s="9" t="s">
        <v>7</v>
      </c>
      <c r="AH464">
        <v>35.72</v>
      </c>
      <c r="AI464">
        <f>AH464/100</f>
        <v>0.35719999999999996</v>
      </c>
    </row>
    <row r="465" spans="1:35" x14ac:dyDescent="0.3">
      <c r="A465" s="15"/>
      <c r="B465" s="1"/>
      <c r="C465" s="1">
        <v>295.22000000000003</v>
      </c>
      <c r="D465" s="30">
        <v>0.2392</v>
      </c>
      <c r="E465" s="25"/>
      <c r="F465" s="25"/>
      <c r="L465" s="26">
        <f t="shared" ref="L465:L477" si="57">D465-I157</f>
        <v>0.2392</v>
      </c>
      <c r="U465">
        <f t="shared" si="55"/>
        <v>72.414234247481801</v>
      </c>
      <c r="X465" s="9"/>
      <c r="Y465" s="11">
        <v>4.0803000000000003</v>
      </c>
      <c r="AA465">
        <v>1235.25</v>
      </c>
      <c r="AG465" s="9"/>
      <c r="AH465">
        <v>18.47</v>
      </c>
      <c r="AI465">
        <f t="shared" si="56"/>
        <v>0.18469999999999998</v>
      </c>
    </row>
    <row r="466" spans="1:35" x14ac:dyDescent="0.3">
      <c r="A466" s="15"/>
      <c r="B466" s="1" t="s">
        <v>8</v>
      </c>
      <c r="C466" s="1">
        <v>609.32000000000005</v>
      </c>
      <c r="D466" s="30">
        <v>0.27850000000000003</v>
      </c>
      <c r="E466" s="25"/>
      <c r="F466" s="25"/>
      <c r="L466" s="26">
        <f t="shared" si="57"/>
        <v>0.27850000000000003</v>
      </c>
      <c r="U466">
        <f t="shared" si="55"/>
        <v>70.551696027563011</v>
      </c>
      <c r="X466" s="9" t="s">
        <v>8</v>
      </c>
      <c r="Y466" s="11">
        <v>4.8761000000000001</v>
      </c>
      <c r="AA466">
        <v>1235.25</v>
      </c>
      <c r="AG466" s="9" t="s">
        <v>8</v>
      </c>
      <c r="AH466">
        <v>45.44</v>
      </c>
      <c r="AI466">
        <f t="shared" si="56"/>
        <v>0.45439999999999997</v>
      </c>
    </row>
    <row r="467" spans="1:35" x14ac:dyDescent="0.3">
      <c r="A467" s="15"/>
      <c r="B467" s="1"/>
      <c r="C467" s="1">
        <v>1764.49</v>
      </c>
      <c r="D467" s="30">
        <v>3.9669999999999997E-2</v>
      </c>
      <c r="E467" s="25"/>
      <c r="F467" s="18"/>
      <c r="L467" s="26">
        <f t="shared" si="57"/>
        <v>3.9669999999999997E-2</v>
      </c>
      <c r="U467">
        <f t="shared" si="55"/>
        <v>64.337964786513311</v>
      </c>
      <c r="X467" s="9"/>
      <c r="Y467" s="11">
        <v>0.76163999999999998</v>
      </c>
      <c r="AA467">
        <v>1235.25</v>
      </c>
      <c r="AG467" s="9"/>
      <c r="AH467">
        <v>15.29</v>
      </c>
      <c r="AI467">
        <f t="shared" si="56"/>
        <v>0.15289999999999998</v>
      </c>
    </row>
    <row r="468" spans="1:35" x14ac:dyDescent="0.3">
      <c r="A468" s="15"/>
      <c r="B468" s="1"/>
      <c r="C468" s="1">
        <v>1120.29</v>
      </c>
      <c r="D468" s="30">
        <v>5.3719999999999997E-2</v>
      </c>
      <c r="E468" s="25"/>
      <c r="F468" s="25"/>
      <c r="L468" s="26">
        <f t="shared" si="57"/>
        <v>5.3719999999999997E-2</v>
      </c>
      <c r="U468">
        <f t="shared" si="55"/>
        <v>67.653188560942027</v>
      </c>
      <c r="X468" s="9"/>
      <c r="Y468" s="11">
        <v>0.98085</v>
      </c>
      <c r="AA468">
        <v>1235.25</v>
      </c>
      <c r="AG468" s="9"/>
      <c r="AH468">
        <v>14.9</v>
      </c>
      <c r="AI468">
        <f t="shared" si="56"/>
        <v>0.14899999999999999</v>
      </c>
    </row>
    <row r="469" spans="1:35" x14ac:dyDescent="0.3">
      <c r="A469" s="15"/>
      <c r="B469" s="1" t="s">
        <v>9</v>
      </c>
      <c r="C469" s="1">
        <v>1460.82</v>
      </c>
      <c r="D469" s="30">
        <v>2.9929999999999998E-2</v>
      </c>
      <c r="E469" s="25"/>
      <c r="F469" s="25"/>
      <c r="L469" s="26">
        <f t="shared" si="57"/>
        <v>2.5183169419999998E-2</v>
      </c>
      <c r="X469" s="9" t="s">
        <v>9</v>
      </c>
      <c r="Y469" s="9">
        <v>1.74254</v>
      </c>
      <c r="AA469">
        <v>3545</v>
      </c>
      <c r="AG469" s="9" t="s">
        <v>9</v>
      </c>
      <c r="AH469">
        <v>10.66</v>
      </c>
      <c r="AI469">
        <f t="shared" si="56"/>
        <v>0.1066</v>
      </c>
    </row>
    <row r="470" spans="1:35" x14ac:dyDescent="0.3">
      <c r="A470" s="15"/>
      <c r="B470" s="1" t="s">
        <v>10</v>
      </c>
      <c r="C470" s="1">
        <v>238.63</v>
      </c>
      <c r="D470" s="30">
        <v>1.1232800000000001</v>
      </c>
      <c r="E470" s="25"/>
      <c r="F470" s="25"/>
      <c r="L470" s="26">
        <f t="shared" si="57"/>
        <v>1.1232800000000001</v>
      </c>
      <c r="X470" s="9" t="s">
        <v>10</v>
      </c>
      <c r="Y470" s="11">
        <v>7.7333699999999999</v>
      </c>
      <c r="AA470">
        <v>812.5</v>
      </c>
      <c r="AG470" s="9" t="s">
        <v>10</v>
      </c>
      <c r="AH470">
        <v>43.6</v>
      </c>
      <c r="AI470">
        <f t="shared" si="56"/>
        <v>0.436</v>
      </c>
    </row>
    <row r="471" spans="1:35" x14ac:dyDescent="0.3">
      <c r="A471" s="15"/>
      <c r="B471" s="1" t="s">
        <v>11</v>
      </c>
      <c r="C471" s="1">
        <v>911.21</v>
      </c>
      <c r="D471" s="30">
        <v>0.23102</v>
      </c>
      <c r="E471" s="25"/>
      <c r="F471" s="25"/>
      <c r="L471" s="26">
        <f t="shared" si="57"/>
        <v>0.23102</v>
      </c>
      <c r="X471" s="9" t="s">
        <v>11</v>
      </c>
      <c r="Y471" s="11">
        <v>1.39327</v>
      </c>
      <c r="AA471">
        <v>812.5</v>
      </c>
      <c r="AG471" s="9" t="s">
        <v>11</v>
      </c>
      <c r="AH471">
        <v>25.8</v>
      </c>
      <c r="AI471">
        <f t="shared" si="56"/>
        <v>0.25800000000000001</v>
      </c>
    </row>
    <row r="472" spans="1:35" x14ac:dyDescent="0.3">
      <c r="A472" s="15"/>
      <c r="B472" s="1"/>
      <c r="C472" s="1">
        <v>968.97</v>
      </c>
      <c r="D472" s="30">
        <v>0.13419</v>
      </c>
      <c r="E472" s="18"/>
      <c r="F472" s="18"/>
      <c r="L472" s="26">
        <f t="shared" si="57"/>
        <v>0.13419</v>
      </c>
      <c r="X472" s="9"/>
      <c r="Y472" s="11">
        <v>0.80701000000000001</v>
      </c>
      <c r="AA472">
        <v>812.5</v>
      </c>
      <c r="AG472" s="9"/>
      <c r="AH472">
        <v>15.8</v>
      </c>
      <c r="AI472">
        <f t="shared" si="56"/>
        <v>0.158</v>
      </c>
    </row>
    <row r="473" spans="1:35" x14ac:dyDescent="0.3">
      <c r="A473" s="15"/>
      <c r="B473" s="1"/>
      <c r="C473" s="1">
        <v>338.32</v>
      </c>
      <c r="D473" s="30">
        <v>0.24865000000000001</v>
      </c>
      <c r="E473" s="25"/>
      <c r="F473" s="25"/>
      <c r="L473" s="26">
        <f t="shared" si="57"/>
        <v>0.24865000000000001</v>
      </c>
      <c r="X473" s="9"/>
      <c r="Y473" s="11">
        <v>1.42353</v>
      </c>
      <c r="AA473">
        <v>812.5</v>
      </c>
      <c r="AG473" s="9"/>
      <c r="AH473">
        <v>11.27</v>
      </c>
      <c r="AI473">
        <f t="shared" si="56"/>
        <v>0.11269999999999999</v>
      </c>
    </row>
    <row r="474" spans="1:35" x14ac:dyDescent="0.3">
      <c r="A474" s="15"/>
      <c r="B474" s="1" t="s">
        <v>12</v>
      </c>
      <c r="C474" s="1">
        <v>2614.5300000000002</v>
      </c>
      <c r="D474" s="30">
        <v>0.11408</v>
      </c>
      <c r="E474" s="25"/>
      <c r="F474" s="25"/>
      <c r="L474" s="26">
        <f t="shared" si="57"/>
        <v>0.11080266558</v>
      </c>
      <c r="U474">
        <f t="shared" si="55"/>
        <v>128.53862245855882</v>
      </c>
      <c r="X474" s="9" t="s">
        <v>12</v>
      </c>
      <c r="Y474" s="11">
        <v>0.70038999999999996</v>
      </c>
      <c r="AA474">
        <v>812.5</v>
      </c>
      <c r="AG474" s="9" t="s">
        <v>12</v>
      </c>
      <c r="AH474">
        <v>99.754000000000005</v>
      </c>
      <c r="AI474">
        <f t="shared" si="56"/>
        <v>0.99754000000000009</v>
      </c>
    </row>
    <row r="475" spans="1:35" x14ac:dyDescent="0.3">
      <c r="A475" s="15"/>
      <c r="B475" s="1"/>
      <c r="C475" s="1">
        <v>583.19000000000005</v>
      </c>
      <c r="D475" s="30">
        <v>0.36353000000000002</v>
      </c>
      <c r="E475" s="25"/>
      <c r="F475" s="18"/>
      <c r="L475" s="26">
        <f t="shared" si="57"/>
        <v>0.36353000000000002</v>
      </c>
      <c r="U475">
        <f t="shared" si="55"/>
        <v>136.93024565730366</v>
      </c>
      <c r="X475" s="9"/>
      <c r="Y475" s="9">
        <v>2.15707</v>
      </c>
      <c r="AA475">
        <v>812.5</v>
      </c>
      <c r="AG475" s="9"/>
      <c r="AH475">
        <v>85</v>
      </c>
      <c r="AI475">
        <f t="shared" si="56"/>
        <v>0.85</v>
      </c>
    </row>
    <row r="476" spans="1:35" x14ac:dyDescent="0.3">
      <c r="A476" s="15"/>
      <c r="B476" s="1"/>
      <c r="C476" s="1">
        <v>510.77</v>
      </c>
      <c r="D476" s="30">
        <v>0.12726000000000001</v>
      </c>
      <c r="E476" s="25"/>
      <c r="F476" s="25"/>
      <c r="L476" s="26">
        <f t="shared" si="57"/>
        <v>0.10488000000000001</v>
      </c>
      <c r="U476">
        <f t="shared" si="55"/>
        <v>126.66290114006274</v>
      </c>
      <c r="X476" s="9"/>
      <c r="Y476" s="11">
        <v>0.67276999999999998</v>
      </c>
      <c r="AA476">
        <v>812.5</v>
      </c>
      <c r="AG476" s="9"/>
      <c r="AH476">
        <v>22.6</v>
      </c>
      <c r="AI476">
        <f t="shared" si="56"/>
        <v>0.22600000000000001</v>
      </c>
    </row>
    <row r="477" spans="1:35" x14ac:dyDescent="0.3">
      <c r="A477" s="15"/>
      <c r="B477" s="1"/>
      <c r="C477" s="1">
        <v>860.56</v>
      </c>
      <c r="D477" s="30">
        <v>4.0570000000000002E-2</v>
      </c>
      <c r="E477" s="25"/>
      <c r="F477" s="25"/>
      <c r="L477" s="26">
        <f t="shared" si="57"/>
        <v>4.0570000000000002E-2</v>
      </c>
      <c r="U477">
        <f t="shared" si="55"/>
        <v>134.75237102444606</v>
      </c>
      <c r="X477" s="9"/>
      <c r="Y477" s="11">
        <v>0.24462</v>
      </c>
      <c r="AA477">
        <v>812.5</v>
      </c>
      <c r="AG477" s="9"/>
      <c r="AH477">
        <v>12.5</v>
      </c>
      <c r="AI477">
        <f t="shared" si="56"/>
        <v>0.125</v>
      </c>
    </row>
    <row r="478" spans="1:35" x14ac:dyDescent="0.3">
      <c r="A478" s="21">
        <v>42</v>
      </c>
      <c r="B478" s="1" t="s">
        <v>7</v>
      </c>
      <c r="C478" s="1">
        <v>351.93</v>
      </c>
      <c r="D478" s="30">
        <v>2.1950000000000001E-2</v>
      </c>
      <c r="E478" s="25"/>
      <c r="F478" s="25"/>
      <c r="K478">
        <v>42</v>
      </c>
      <c r="L478" s="26">
        <f>D478-I156</f>
        <v>2.1950000000000001E-2</v>
      </c>
      <c r="T478">
        <v>42</v>
      </c>
      <c r="U478">
        <f t="shared" si="55"/>
        <v>3.9335861787815833</v>
      </c>
      <c r="X478" s="9" t="s">
        <v>7</v>
      </c>
      <c r="Y478" s="11">
        <v>6.8928799999999999</v>
      </c>
      <c r="AA478">
        <v>1235.25</v>
      </c>
      <c r="AG478" s="9" t="s">
        <v>7</v>
      </c>
      <c r="AH478">
        <v>35.72</v>
      </c>
      <c r="AI478">
        <f>AH478/100</f>
        <v>0.35719999999999996</v>
      </c>
    </row>
    <row r="479" spans="1:35" x14ac:dyDescent="0.3">
      <c r="A479" s="15"/>
      <c r="B479" s="1"/>
      <c r="C479" s="1">
        <v>295.22000000000003</v>
      </c>
      <c r="D479" s="33">
        <v>1.49E-2</v>
      </c>
      <c r="E479" s="25"/>
      <c r="F479" s="25"/>
      <c r="L479" s="26">
        <f t="shared" ref="L479:L491" si="58">D479-I157</f>
        <v>1.49E-2</v>
      </c>
      <c r="U479">
        <f t="shared" si="55"/>
        <v>4.5107528858172188</v>
      </c>
      <c r="X479" s="9"/>
      <c r="Y479" s="11">
        <v>4.0803000000000003</v>
      </c>
      <c r="AA479">
        <v>1235.25</v>
      </c>
      <c r="AG479" s="9"/>
      <c r="AH479">
        <v>18.47</v>
      </c>
      <c r="AI479">
        <f t="shared" ref="AI479:AI505" si="59">AH479/100</f>
        <v>0.18469999999999998</v>
      </c>
    </row>
    <row r="480" spans="1:35" x14ac:dyDescent="0.3">
      <c r="A480" s="15"/>
      <c r="B480" s="1" t="s">
        <v>8</v>
      </c>
      <c r="C480" s="1">
        <v>609.32000000000005</v>
      </c>
      <c r="D480" s="29">
        <v>1.7829999999999999E-2</v>
      </c>
      <c r="E480" s="25"/>
      <c r="F480" s="25"/>
      <c r="L480" s="26">
        <f t="shared" si="58"/>
        <v>1.7829999999999999E-2</v>
      </c>
      <c r="U480">
        <f t="shared" si="55"/>
        <v>4.5168285104899404</v>
      </c>
      <c r="X480" s="9" t="s">
        <v>8</v>
      </c>
      <c r="Y480" s="11">
        <v>4.8761000000000001</v>
      </c>
      <c r="AA480">
        <v>1235.25</v>
      </c>
      <c r="AG480" s="9" t="s">
        <v>8</v>
      </c>
      <c r="AH480">
        <v>45.44</v>
      </c>
      <c r="AI480">
        <f t="shared" si="59"/>
        <v>0.45439999999999997</v>
      </c>
    </row>
    <row r="481" spans="1:35" x14ac:dyDescent="0.3">
      <c r="A481" s="15"/>
      <c r="B481" s="1"/>
      <c r="C481" s="1">
        <v>1764.49</v>
      </c>
      <c r="D481" s="31">
        <v>1.90830605E-3</v>
      </c>
      <c r="E481" s="26"/>
      <c r="F481" s="26"/>
      <c r="L481" s="26">
        <f t="shared" si="58"/>
        <v>1.90830605E-3</v>
      </c>
      <c r="U481">
        <f t="shared" si="55"/>
        <v>3.0949464947514573</v>
      </c>
      <c r="X481" s="9"/>
      <c r="Y481" s="11">
        <v>0.76163999999999998</v>
      </c>
      <c r="AA481">
        <v>1235.25</v>
      </c>
      <c r="AG481" s="9"/>
      <c r="AH481">
        <v>15.29</v>
      </c>
      <c r="AI481">
        <f t="shared" si="59"/>
        <v>0.15289999999999998</v>
      </c>
    </row>
    <row r="482" spans="1:35" x14ac:dyDescent="0.3">
      <c r="A482" s="15"/>
      <c r="B482" s="1"/>
      <c r="C482" s="22">
        <v>1120.29</v>
      </c>
      <c r="D482" s="34">
        <v>2.58269194E-3</v>
      </c>
      <c r="E482" s="25"/>
      <c r="F482" s="25"/>
      <c r="L482" s="26">
        <f t="shared" si="58"/>
        <v>2.58269194E-3</v>
      </c>
      <c r="U482">
        <f t="shared" si="55"/>
        <v>3.2525566792934701</v>
      </c>
      <c r="X482" s="9"/>
      <c r="Y482" s="11">
        <v>0.98085</v>
      </c>
      <c r="AA482">
        <v>1235.25</v>
      </c>
      <c r="AG482" s="9"/>
      <c r="AH482">
        <v>14.9</v>
      </c>
      <c r="AI482">
        <f t="shared" si="59"/>
        <v>0.14899999999999999</v>
      </c>
    </row>
    <row r="483" spans="1:35" x14ac:dyDescent="0.3">
      <c r="A483" s="15"/>
      <c r="B483" s="1" t="s">
        <v>9</v>
      </c>
      <c r="C483" s="1">
        <v>1460.82</v>
      </c>
      <c r="D483" s="34">
        <v>6.7985768E-3</v>
      </c>
      <c r="E483" s="25"/>
      <c r="F483" s="25"/>
      <c r="L483" s="26">
        <f t="shared" si="58"/>
        <v>2.0517462200000001E-3</v>
      </c>
      <c r="X483" s="9" t="s">
        <v>9</v>
      </c>
      <c r="Y483" s="9">
        <v>1.74254</v>
      </c>
      <c r="AA483">
        <v>3545</v>
      </c>
      <c r="AG483" s="9" t="s">
        <v>9</v>
      </c>
      <c r="AH483">
        <v>10.66</v>
      </c>
      <c r="AI483">
        <f t="shared" si="59"/>
        <v>0.1066</v>
      </c>
    </row>
    <row r="484" spans="1:35" x14ac:dyDescent="0.3">
      <c r="A484" s="15"/>
      <c r="B484" s="1" t="s">
        <v>10</v>
      </c>
      <c r="C484" s="1">
        <v>238.63</v>
      </c>
      <c r="D484" s="30">
        <v>4.648E-2</v>
      </c>
      <c r="E484" s="26"/>
      <c r="F484" s="26"/>
      <c r="L484" s="26">
        <f t="shared" si="58"/>
        <v>4.648E-2</v>
      </c>
      <c r="X484" s="9" t="s">
        <v>10</v>
      </c>
      <c r="Y484" s="11">
        <v>7.7333699999999999</v>
      </c>
      <c r="AA484">
        <v>812.5</v>
      </c>
      <c r="AG484" s="9" t="s">
        <v>10</v>
      </c>
      <c r="AH484">
        <v>43.6</v>
      </c>
      <c r="AI484">
        <f t="shared" si="59"/>
        <v>0.436</v>
      </c>
    </row>
    <row r="485" spans="1:35" x14ac:dyDescent="0.3">
      <c r="A485" s="15"/>
      <c r="B485" s="1" t="s">
        <v>11</v>
      </c>
      <c r="C485" s="1">
        <v>911.21</v>
      </c>
      <c r="D485" s="31">
        <v>9.8420512999999998E-3</v>
      </c>
      <c r="E485" s="25"/>
      <c r="F485" s="25"/>
      <c r="L485" s="26">
        <f t="shared" si="58"/>
        <v>9.8420512999999998E-3</v>
      </c>
      <c r="X485" s="9" t="s">
        <v>11</v>
      </c>
      <c r="Y485" s="11">
        <v>1.39327</v>
      </c>
      <c r="AA485">
        <v>812.5</v>
      </c>
      <c r="AG485" s="9" t="s">
        <v>11</v>
      </c>
      <c r="AH485">
        <v>25.8</v>
      </c>
      <c r="AI485">
        <f t="shared" si="59"/>
        <v>0.25800000000000001</v>
      </c>
    </row>
    <row r="486" spans="1:35" x14ac:dyDescent="0.3">
      <c r="A486" s="15"/>
      <c r="B486" s="1"/>
      <c r="C486" s="1">
        <v>968.97</v>
      </c>
      <c r="D486" s="31">
        <v>4.9681381299999999E-3</v>
      </c>
      <c r="E486" s="25"/>
      <c r="F486" s="25"/>
      <c r="L486" s="26">
        <f t="shared" si="58"/>
        <v>4.9681381299999999E-3</v>
      </c>
      <c r="X486" s="9"/>
      <c r="Y486" s="11">
        <v>0.80701000000000001</v>
      </c>
      <c r="AA486">
        <v>812.5</v>
      </c>
      <c r="AG486" s="9"/>
      <c r="AH486">
        <v>15.8</v>
      </c>
      <c r="AI486">
        <f t="shared" si="59"/>
        <v>0.158</v>
      </c>
    </row>
    <row r="487" spans="1:35" x14ac:dyDescent="0.3">
      <c r="A487" s="15"/>
      <c r="B487" s="1"/>
      <c r="C487" s="1">
        <v>338.32</v>
      </c>
      <c r="D487" s="31">
        <v>8.3709786200000004E-3</v>
      </c>
      <c r="E487" s="25"/>
      <c r="F487" s="25"/>
      <c r="L487" s="26">
        <f t="shared" si="58"/>
        <v>8.3709786200000004E-3</v>
      </c>
      <c r="X487" s="9"/>
      <c r="Y487" s="11">
        <v>1.42353</v>
      </c>
      <c r="AA487">
        <v>812.5</v>
      </c>
      <c r="AG487" s="9"/>
      <c r="AH487">
        <v>11.27</v>
      </c>
      <c r="AI487">
        <f t="shared" si="59"/>
        <v>0.11269999999999999</v>
      </c>
    </row>
    <row r="488" spans="1:35" x14ac:dyDescent="0.3">
      <c r="A488" s="15"/>
      <c r="B488" s="1" t="s">
        <v>12</v>
      </c>
      <c r="C488" s="1">
        <v>2614.5300000000002</v>
      </c>
      <c r="D488" s="34">
        <v>7.7533393400000001E-3</v>
      </c>
      <c r="E488" s="25"/>
      <c r="F488" s="25"/>
      <c r="L488" s="26">
        <f t="shared" si="58"/>
        <v>4.4760049200000002E-3</v>
      </c>
      <c r="U488">
        <f t="shared" si="55"/>
        <v>5.1924699060523434</v>
      </c>
      <c r="X488" s="9" t="s">
        <v>12</v>
      </c>
      <c r="Y488" s="11">
        <v>0.70038999999999996</v>
      </c>
      <c r="AA488">
        <v>812.5</v>
      </c>
      <c r="AG488" s="9" t="s">
        <v>12</v>
      </c>
      <c r="AH488">
        <v>99.754000000000005</v>
      </c>
      <c r="AI488">
        <f t="shared" si="59"/>
        <v>0.99754000000000009</v>
      </c>
    </row>
    <row r="489" spans="1:35" x14ac:dyDescent="0.3">
      <c r="A489" s="15"/>
      <c r="B489" s="1"/>
      <c r="C489" s="1">
        <v>583.19000000000005</v>
      </c>
      <c r="D489" s="30">
        <v>1.584E-2</v>
      </c>
      <c r="E489" s="25"/>
      <c r="F489" s="25"/>
      <c r="L489" s="26">
        <f t="shared" si="58"/>
        <v>1.584E-2</v>
      </c>
      <c r="U489">
        <f t="shared" si="55"/>
        <v>5.9664266806362338</v>
      </c>
      <c r="X489" s="9"/>
      <c r="Y489" s="9">
        <v>2.15707</v>
      </c>
      <c r="AA489">
        <v>812.5</v>
      </c>
      <c r="AG489" s="9"/>
      <c r="AH489">
        <v>85</v>
      </c>
      <c r="AI489">
        <f t="shared" si="59"/>
        <v>0.85</v>
      </c>
    </row>
    <row r="490" spans="1:35" x14ac:dyDescent="0.3">
      <c r="A490" s="15"/>
      <c r="B490" s="1"/>
      <c r="C490" s="1">
        <v>510.77</v>
      </c>
      <c r="D490" s="30">
        <v>2.6960000000000001E-2</v>
      </c>
      <c r="E490" s="26"/>
      <c r="F490" s="26"/>
      <c r="L490" s="26">
        <f t="shared" si="58"/>
        <v>4.5800000000000007E-3</v>
      </c>
      <c r="U490">
        <f t="shared" si="55"/>
        <v>5.531236529571772</v>
      </c>
      <c r="X490" s="9"/>
      <c r="Y490" s="11">
        <v>0.67276999999999998</v>
      </c>
      <c r="AA490">
        <v>812.5</v>
      </c>
      <c r="AG490" s="9"/>
      <c r="AH490">
        <v>22.6</v>
      </c>
      <c r="AI490">
        <f t="shared" si="59"/>
        <v>0.22600000000000001</v>
      </c>
    </row>
    <row r="491" spans="1:35" x14ac:dyDescent="0.3">
      <c r="A491" s="15"/>
      <c r="B491" s="1"/>
      <c r="C491" s="1">
        <v>860.56</v>
      </c>
      <c r="D491" s="20">
        <v>0</v>
      </c>
      <c r="E491" s="25"/>
      <c r="F491" s="25"/>
      <c r="L491" s="26">
        <f t="shared" si="58"/>
        <v>0</v>
      </c>
      <c r="U491">
        <f t="shared" si="55"/>
        <v>0</v>
      </c>
      <c r="X491" s="9"/>
      <c r="Y491" s="11">
        <v>0.24462</v>
      </c>
      <c r="AA491">
        <v>812.5</v>
      </c>
      <c r="AG491" s="9"/>
      <c r="AH491">
        <v>12.5</v>
      </c>
      <c r="AI491">
        <f t="shared" si="59"/>
        <v>0.125</v>
      </c>
    </row>
    <row r="492" spans="1:35" x14ac:dyDescent="0.3">
      <c r="A492" s="21">
        <v>43</v>
      </c>
      <c r="B492" s="1" t="s">
        <v>7</v>
      </c>
      <c r="C492" s="1">
        <v>351.93</v>
      </c>
      <c r="D492" s="29">
        <v>5.1819999999999998E-2</v>
      </c>
      <c r="E492" s="25"/>
      <c r="F492" s="25"/>
      <c r="K492">
        <v>43</v>
      </c>
      <c r="L492" s="26">
        <f>D492-I156</f>
        <v>5.1819999999999998E-2</v>
      </c>
      <c r="T492">
        <v>43</v>
      </c>
      <c r="U492">
        <f t="shared" si="55"/>
        <v>9.2864891017977964</v>
      </c>
      <c r="X492" s="9" t="s">
        <v>7</v>
      </c>
      <c r="Y492" s="11">
        <v>6.8928799999999999</v>
      </c>
      <c r="AA492">
        <v>1235.25</v>
      </c>
      <c r="AG492" s="9" t="s">
        <v>7</v>
      </c>
      <c r="AH492">
        <v>35.72</v>
      </c>
      <c r="AI492">
        <f>AH492/100</f>
        <v>0.35719999999999996</v>
      </c>
    </row>
    <row r="493" spans="1:35" x14ac:dyDescent="0.3">
      <c r="A493" s="15"/>
      <c r="B493" s="1"/>
      <c r="C493" s="1">
        <v>295.22000000000003</v>
      </c>
      <c r="D493" s="29">
        <v>3.3239999999999999E-2</v>
      </c>
      <c r="E493" s="26"/>
      <c r="F493" s="26"/>
      <c r="L493" s="26">
        <f t="shared" ref="L493:L505" si="60">D493-I157</f>
        <v>3.3239999999999999E-2</v>
      </c>
      <c r="U493">
        <f t="shared" si="55"/>
        <v>10.0629144915815</v>
      </c>
      <c r="X493" s="9"/>
      <c r="Y493" s="11">
        <v>4.0803000000000003</v>
      </c>
      <c r="AA493">
        <v>1235.25</v>
      </c>
      <c r="AG493" s="9"/>
      <c r="AH493">
        <v>18.47</v>
      </c>
      <c r="AI493">
        <f t="shared" si="59"/>
        <v>0.18469999999999998</v>
      </c>
    </row>
    <row r="494" spans="1:35" x14ac:dyDescent="0.3">
      <c r="A494" s="15"/>
      <c r="B494" s="1" t="s">
        <v>8</v>
      </c>
      <c r="C494" s="1">
        <v>609.32000000000005</v>
      </c>
      <c r="D494" s="29">
        <v>3.7260000000000001E-2</v>
      </c>
      <c r="E494" s="25"/>
      <c r="F494" s="25"/>
      <c r="L494" s="26">
        <f t="shared" si="60"/>
        <v>3.7260000000000001E-2</v>
      </c>
      <c r="U494">
        <f t="shared" si="55"/>
        <v>9.4389809478886821</v>
      </c>
      <c r="X494" s="9" t="s">
        <v>8</v>
      </c>
      <c r="Y494" s="11">
        <v>4.8761000000000001</v>
      </c>
      <c r="AA494">
        <v>1235.25</v>
      </c>
      <c r="AG494" s="9" t="s">
        <v>8</v>
      </c>
      <c r="AH494">
        <v>45.44</v>
      </c>
      <c r="AI494">
        <f t="shared" si="59"/>
        <v>0.45439999999999997</v>
      </c>
    </row>
    <row r="495" spans="1:35" x14ac:dyDescent="0.3">
      <c r="A495" s="15"/>
      <c r="B495" s="1"/>
      <c r="C495" s="1">
        <v>1764.49</v>
      </c>
      <c r="D495" s="35">
        <v>5.4487603799999998E-3</v>
      </c>
      <c r="E495" s="25"/>
      <c r="F495" s="25"/>
      <c r="L495" s="26">
        <f t="shared" si="60"/>
        <v>5.4487603799999998E-3</v>
      </c>
      <c r="U495">
        <f t="shared" si="55"/>
        <v>8.8369587461202137</v>
      </c>
      <c r="X495" s="9"/>
      <c r="Y495" s="11">
        <v>0.76163999999999998</v>
      </c>
      <c r="AA495">
        <v>1235.25</v>
      </c>
      <c r="AG495" s="9"/>
      <c r="AH495">
        <v>15.29</v>
      </c>
      <c r="AI495">
        <f t="shared" si="59"/>
        <v>0.15289999999999998</v>
      </c>
    </row>
    <row r="496" spans="1:35" x14ac:dyDescent="0.3">
      <c r="A496" s="15"/>
      <c r="B496" s="1"/>
      <c r="C496" s="1">
        <v>1120.29</v>
      </c>
      <c r="D496" s="34">
        <v>3.5154031400000002E-3</v>
      </c>
      <c r="E496" s="25"/>
      <c r="F496" s="25"/>
      <c r="L496" s="26">
        <f t="shared" si="60"/>
        <v>3.5154031400000002E-3</v>
      </c>
      <c r="U496">
        <f t="shared" si="55"/>
        <v>4.4271822691390126</v>
      </c>
      <c r="X496" s="9"/>
      <c r="Y496" s="11">
        <v>0.98085</v>
      </c>
      <c r="AA496">
        <v>1235.25</v>
      </c>
      <c r="AG496" s="9"/>
      <c r="AH496">
        <v>14.9</v>
      </c>
      <c r="AI496">
        <f t="shared" si="59"/>
        <v>0.14899999999999999</v>
      </c>
    </row>
    <row r="497" spans="1:35" x14ac:dyDescent="0.3">
      <c r="A497" s="15"/>
      <c r="B497" s="1" t="s">
        <v>9</v>
      </c>
      <c r="C497" s="1">
        <v>1460.82</v>
      </c>
      <c r="D497" s="29">
        <v>1.035E-2</v>
      </c>
      <c r="E497" s="26"/>
      <c r="F497" s="26"/>
      <c r="L497" s="26">
        <f t="shared" si="60"/>
        <v>5.6031694199999999E-3</v>
      </c>
      <c r="X497" s="9" t="s">
        <v>9</v>
      </c>
      <c r="Y497" s="9">
        <v>1.74254</v>
      </c>
      <c r="AA497">
        <v>3545</v>
      </c>
      <c r="AG497" s="9" t="s">
        <v>9</v>
      </c>
      <c r="AH497">
        <v>10.66</v>
      </c>
      <c r="AI497">
        <f t="shared" si="59"/>
        <v>0.1066</v>
      </c>
    </row>
    <row r="498" spans="1:35" x14ac:dyDescent="0.3">
      <c r="A498" s="15"/>
      <c r="B498" s="1" t="s">
        <v>10</v>
      </c>
      <c r="C498" s="1">
        <v>238.63</v>
      </c>
      <c r="D498" s="29">
        <v>0.11065999999999999</v>
      </c>
      <c r="E498" s="25"/>
      <c r="F498" s="20"/>
      <c r="L498" s="26">
        <f t="shared" si="60"/>
        <v>0.11065999999999999</v>
      </c>
      <c r="X498" s="9" t="s">
        <v>10</v>
      </c>
      <c r="Y498" s="11">
        <v>7.7333699999999999</v>
      </c>
      <c r="AA498">
        <v>812.5</v>
      </c>
      <c r="AG498" s="9" t="s">
        <v>10</v>
      </c>
      <c r="AH498">
        <v>43.6</v>
      </c>
      <c r="AI498">
        <f t="shared" si="59"/>
        <v>0.436</v>
      </c>
    </row>
    <row r="499" spans="1:35" x14ac:dyDescent="0.3">
      <c r="A499" s="15"/>
      <c r="B499" s="1" t="s">
        <v>11</v>
      </c>
      <c r="C499" s="1">
        <v>911.21</v>
      </c>
      <c r="D499" s="29">
        <v>2.444E-2</v>
      </c>
      <c r="E499" s="25"/>
      <c r="F499" s="25"/>
      <c r="L499" s="26">
        <f t="shared" si="60"/>
        <v>2.444E-2</v>
      </c>
      <c r="X499" s="9" t="s">
        <v>11</v>
      </c>
      <c r="Y499" s="11">
        <v>1.39327</v>
      </c>
      <c r="AA499">
        <v>812.5</v>
      </c>
      <c r="AG499" s="9" t="s">
        <v>11</v>
      </c>
      <c r="AH499">
        <v>25.8</v>
      </c>
      <c r="AI499">
        <f t="shared" si="59"/>
        <v>0.25800000000000001</v>
      </c>
    </row>
    <row r="500" spans="1:35" x14ac:dyDescent="0.3">
      <c r="A500" s="15"/>
      <c r="B500" s="1"/>
      <c r="C500" s="1">
        <v>968.97</v>
      </c>
      <c r="D500" s="29">
        <v>1.354E-2</v>
      </c>
      <c r="E500" s="25"/>
      <c r="F500" s="25"/>
      <c r="L500" s="26">
        <f t="shared" si="60"/>
        <v>1.354E-2</v>
      </c>
      <c r="X500" s="9"/>
      <c r="Y500" s="11">
        <v>0.80701000000000001</v>
      </c>
      <c r="AA500">
        <v>812.5</v>
      </c>
      <c r="AG500" s="9"/>
      <c r="AH500">
        <v>15.8</v>
      </c>
      <c r="AI500">
        <f t="shared" si="59"/>
        <v>0.158</v>
      </c>
    </row>
    <row r="501" spans="1:35" x14ac:dyDescent="0.3">
      <c r="A501" s="15"/>
      <c r="B501" s="1"/>
      <c r="C501" s="1">
        <v>338.32</v>
      </c>
      <c r="D501" s="29">
        <v>2.2110000000000001E-2</v>
      </c>
      <c r="E501" s="25"/>
      <c r="F501" s="25"/>
      <c r="L501" s="26">
        <f t="shared" si="60"/>
        <v>2.2110000000000001E-2</v>
      </c>
      <c r="X501" s="9"/>
      <c r="Y501" s="11">
        <v>1.42353</v>
      </c>
      <c r="AA501">
        <v>812.5</v>
      </c>
      <c r="AG501" s="9"/>
      <c r="AH501">
        <v>11.27</v>
      </c>
      <c r="AI501">
        <f t="shared" si="59"/>
        <v>0.11269999999999999</v>
      </c>
    </row>
    <row r="502" spans="1:35" x14ac:dyDescent="0.3">
      <c r="A502" s="15"/>
      <c r="B502" s="1" t="s">
        <v>12</v>
      </c>
      <c r="C502" s="1">
        <v>2614.5300000000002</v>
      </c>
      <c r="D502" s="34">
        <v>4.9222755599999998E-3</v>
      </c>
      <c r="E502" s="25"/>
      <c r="F502" s="25"/>
      <c r="L502" s="26">
        <f t="shared" si="60"/>
        <v>1.6449411399999999E-3</v>
      </c>
      <c r="U502">
        <f t="shared" si="55"/>
        <v>1.9082435161124516</v>
      </c>
      <c r="X502" s="9" t="s">
        <v>12</v>
      </c>
      <c r="Y502" s="11">
        <v>0.70038999999999996</v>
      </c>
      <c r="AA502">
        <v>812.5</v>
      </c>
      <c r="AG502" s="9" t="s">
        <v>12</v>
      </c>
      <c r="AH502">
        <v>99.754000000000005</v>
      </c>
      <c r="AI502">
        <f t="shared" si="59"/>
        <v>0.99754000000000009</v>
      </c>
    </row>
    <row r="503" spans="1:35" x14ac:dyDescent="0.3">
      <c r="A503" s="15"/>
      <c r="B503" s="1"/>
      <c r="C503" s="1">
        <v>583.19000000000005</v>
      </c>
      <c r="D503" s="30">
        <v>3.5700000000000003E-2</v>
      </c>
      <c r="E503" s="25"/>
      <c r="F503" s="25"/>
      <c r="L503" s="26">
        <f t="shared" si="60"/>
        <v>3.5700000000000003E-2</v>
      </c>
      <c r="U503">
        <f t="shared" si="55"/>
        <v>13.447060132494542</v>
      </c>
      <c r="X503" s="9"/>
      <c r="Y503" s="9">
        <v>2.15707</v>
      </c>
      <c r="AA503">
        <v>812.5</v>
      </c>
      <c r="AG503" s="9"/>
      <c r="AH503">
        <v>85</v>
      </c>
      <c r="AI503">
        <f t="shared" si="59"/>
        <v>0.85</v>
      </c>
    </row>
    <row r="504" spans="1:35" x14ac:dyDescent="0.3">
      <c r="A504" s="15"/>
      <c r="B504" s="1"/>
      <c r="C504" s="1">
        <v>510.77</v>
      </c>
      <c r="D504" s="29">
        <v>2.9239999999999999E-2</v>
      </c>
      <c r="E504" s="26"/>
      <c r="F504" s="26"/>
      <c r="L504" s="26">
        <f t="shared" si="60"/>
        <v>6.859999999999998E-3</v>
      </c>
      <c r="U504">
        <f t="shared" si="55"/>
        <v>8.284777858703567</v>
      </c>
      <c r="X504" s="9"/>
      <c r="Y504" s="11">
        <v>0.67276999999999998</v>
      </c>
      <c r="AA504">
        <v>812.5</v>
      </c>
      <c r="AG504" s="9"/>
      <c r="AH504">
        <v>22.6</v>
      </c>
      <c r="AI504">
        <f t="shared" si="59"/>
        <v>0.22600000000000001</v>
      </c>
    </row>
    <row r="505" spans="1:35" x14ac:dyDescent="0.3">
      <c r="A505" s="15"/>
      <c r="B505" s="1"/>
      <c r="C505" s="1">
        <v>860.56</v>
      </c>
      <c r="D505" s="5">
        <v>0</v>
      </c>
      <c r="E505" s="25"/>
      <c r="F505" s="25"/>
      <c r="L505" s="26">
        <f t="shared" si="60"/>
        <v>0</v>
      </c>
      <c r="U505">
        <f t="shared" si="55"/>
        <v>0</v>
      </c>
      <c r="X505" s="9"/>
      <c r="Y505" s="11">
        <v>0.24462</v>
      </c>
      <c r="AA505">
        <v>812.5</v>
      </c>
      <c r="AG505" s="9"/>
      <c r="AH505">
        <v>12.5</v>
      </c>
      <c r="AI505">
        <f t="shared" si="59"/>
        <v>0.125</v>
      </c>
    </row>
    <row r="506" spans="1:35" x14ac:dyDescent="0.3">
      <c r="A506" s="21">
        <v>44</v>
      </c>
      <c r="B506" s="1" t="s">
        <v>7</v>
      </c>
      <c r="C506" s="1">
        <v>351.93</v>
      </c>
      <c r="D506" s="30">
        <v>6.6589999999999996E-2</v>
      </c>
      <c r="E506" s="26"/>
      <c r="F506" s="26"/>
      <c r="K506">
        <v>44</v>
      </c>
      <c r="L506" s="26">
        <f>D506-I170</f>
        <v>6.285330452E-2</v>
      </c>
      <c r="T506">
        <v>44</v>
      </c>
      <c r="U506">
        <f t="shared" si="55"/>
        <v>11.263730749458862</v>
      </c>
      <c r="X506" s="9" t="s">
        <v>7</v>
      </c>
      <c r="Y506" s="11">
        <v>6.8928799999999999</v>
      </c>
      <c r="AA506">
        <v>1235.25</v>
      </c>
      <c r="AG506" s="9" t="s">
        <v>7</v>
      </c>
      <c r="AH506">
        <v>35.72</v>
      </c>
      <c r="AI506">
        <f>AH506/100</f>
        <v>0.35719999999999996</v>
      </c>
    </row>
    <row r="507" spans="1:35" x14ac:dyDescent="0.3">
      <c r="A507" s="15"/>
      <c r="B507" s="1"/>
      <c r="C507" s="1">
        <v>295.22000000000003</v>
      </c>
      <c r="D507" s="30">
        <v>3.9550000000000002E-2</v>
      </c>
      <c r="E507" s="25"/>
      <c r="F507" s="25"/>
      <c r="L507" s="26">
        <f t="shared" ref="L507:L519" si="61">D507-I171</f>
        <v>3.9550000000000002E-2</v>
      </c>
      <c r="U507">
        <f t="shared" si="55"/>
        <v>11.973172928461143</v>
      </c>
      <c r="X507" s="9"/>
      <c r="Y507" s="11">
        <v>4.0803000000000003</v>
      </c>
      <c r="AA507">
        <v>1235.25</v>
      </c>
      <c r="AG507" s="9"/>
      <c r="AH507">
        <v>18.47</v>
      </c>
      <c r="AI507">
        <f t="shared" ref="AI507:AI533" si="62">AH507/100</f>
        <v>0.18469999999999998</v>
      </c>
    </row>
    <row r="508" spans="1:35" x14ac:dyDescent="0.3">
      <c r="A508" s="15"/>
      <c r="B508" s="1" t="s">
        <v>8</v>
      </c>
      <c r="C508" s="1">
        <v>609.32000000000005</v>
      </c>
      <c r="D508" s="33">
        <v>4.7309999999999998E-2</v>
      </c>
      <c r="E508" s="25"/>
      <c r="F508" s="20"/>
      <c r="L508" s="26">
        <f t="shared" si="61"/>
        <v>4.7309999999999998E-2</v>
      </c>
      <c r="U508">
        <f t="shared" si="55"/>
        <v>11.984921863784582</v>
      </c>
      <c r="X508" s="9" t="s">
        <v>8</v>
      </c>
      <c r="Y508" s="11">
        <v>4.8761000000000001</v>
      </c>
      <c r="AA508">
        <v>1235.25</v>
      </c>
      <c r="AG508" s="9" t="s">
        <v>8</v>
      </c>
      <c r="AH508">
        <v>45.44</v>
      </c>
      <c r="AI508">
        <f t="shared" si="62"/>
        <v>0.45439999999999997</v>
      </c>
    </row>
    <row r="509" spans="1:35" x14ac:dyDescent="0.3">
      <c r="A509" s="15"/>
      <c r="B509" s="1"/>
      <c r="C509" s="22">
        <v>1764.49</v>
      </c>
      <c r="D509" s="34">
        <v>2.28049099E-3</v>
      </c>
      <c r="E509" s="25"/>
      <c r="F509" s="25"/>
      <c r="L509" s="26">
        <f t="shared" si="61"/>
        <v>2.28049099E-3</v>
      </c>
      <c r="U509">
        <f t="shared" si="55"/>
        <v>3.6985669022077357</v>
      </c>
      <c r="X509" s="9"/>
      <c r="Y509" s="11">
        <v>0.76163999999999998</v>
      </c>
      <c r="AA509">
        <v>1235.25</v>
      </c>
      <c r="AG509" s="9"/>
      <c r="AH509">
        <v>15.29</v>
      </c>
      <c r="AI509">
        <f t="shared" si="62"/>
        <v>0.15289999999999998</v>
      </c>
    </row>
    <row r="510" spans="1:35" x14ac:dyDescent="0.3">
      <c r="A510" s="15"/>
      <c r="B510" s="1"/>
      <c r="C510" s="1">
        <v>1120.29</v>
      </c>
      <c r="D510" s="32">
        <v>8.3386475899999996E-3</v>
      </c>
      <c r="E510" s="25"/>
      <c r="F510" s="25"/>
      <c r="L510" s="26">
        <f t="shared" si="61"/>
        <v>8.3386475899999996E-3</v>
      </c>
      <c r="U510">
        <f t="shared" si="55"/>
        <v>10.501416562723657</v>
      </c>
      <c r="X510" s="9"/>
      <c r="Y510" s="11">
        <v>0.98085</v>
      </c>
      <c r="AA510">
        <v>1235.25</v>
      </c>
      <c r="AG510" s="9"/>
      <c r="AH510">
        <v>14.9</v>
      </c>
      <c r="AI510">
        <f t="shared" si="62"/>
        <v>0.14899999999999999</v>
      </c>
    </row>
    <row r="511" spans="1:35" x14ac:dyDescent="0.3">
      <c r="A511" s="15"/>
      <c r="B511" s="1" t="s">
        <v>9</v>
      </c>
      <c r="C511" s="1">
        <v>1460.82</v>
      </c>
      <c r="D511" s="29">
        <v>1.796E-2</v>
      </c>
      <c r="E511" s="26"/>
      <c r="F511" s="26"/>
      <c r="L511" s="26">
        <f t="shared" si="61"/>
        <v>1.247668092E-2</v>
      </c>
      <c r="X511" s="9" t="s">
        <v>9</v>
      </c>
      <c r="Y511" s="9">
        <v>1.74254</v>
      </c>
      <c r="AA511">
        <v>3545</v>
      </c>
      <c r="AG511" s="9" t="s">
        <v>9</v>
      </c>
      <c r="AH511">
        <v>10.66</v>
      </c>
      <c r="AI511">
        <f t="shared" si="62"/>
        <v>0.1066</v>
      </c>
    </row>
    <row r="512" spans="1:35" x14ac:dyDescent="0.3">
      <c r="A512" s="15"/>
      <c r="B512" s="1" t="s">
        <v>10</v>
      </c>
      <c r="C512" s="1">
        <v>238.63</v>
      </c>
      <c r="D512" s="30">
        <v>0.15770000000000001</v>
      </c>
      <c r="E512" s="26"/>
      <c r="F512" s="26"/>
      <c r="L512" s="26">
        <f t="shared" si="61"/>
        <v>0.15415663753</v>
      </c>
      <c r="X512" s="9" t="s">
        <v>10</v>
      </c>
      <c r="Y512" s="11">
        <v>7.7333699999999999</v>
      </c>
      <c r="AA512">
        <v>812.5</v>
      </c>
      <c r="AG512" s="9" t="s">
        <v>10</v>
      </c>
      <c r="AH512">
        <v>43.6</v>
      </c>
      <c r="AI512">
        <f t="shared" si="62"/>
        <v>0.436</v>
      </c>
    </row>
    <row r="513" spans="1:35" x14ac:dyDescent="0.3">
      <c r="A513" s="15"/>
      <c r="B513" s="1" t="s">
        <v>11</v>
      </c>
      <c r="C513" s="1">
        <v>911.21</v>
      </c>
      <c r="D513" s="30">
        <v>3.3009999999999998E-2</v>
      </c>
      <c r="E513" s="25"/>
      <c r="F513" s="26"/>
      <c r="L513" s="26">
        <f t="shared" si="61"/>
        <v>3.3009999999999998E-2</v>
      </c>
      <c r="X513" s="9" t="s">
        <v>11</v>
      </c>
      <c r="Y513" s="11">
        <v>1.39327</v>
      </c>
      <c r="AA513">
        <v>812.5</v>
      </c>
      <c r="AG513" s="9" t="s">
        <v>11</v>
      </c>
      <c r="AH513">
        <v>25.8</v>
      </c>
      <c r="AI513">
        <f t="shared" si="62"/>
        <v>0.25800000000000001</v>
      </c>
    </row>
    <row r="514" spans="1:35" x14ac:dyDescent="0.3">
      <c r="A514" s="15"/>
      <c r="B514" s="1"/>
      <c r="C514" s="1">
        <v>968.97</v>
      </c>
      <c r="D514" s="29">
        <v>1.6459999999999999E-2</v>
      </c>
      <c r="E514" s="25"/>
      <c r="F514" s="25"/>
      <c r="L514" s="26">
        <f t="shared" si="61"/>
        <v>1.6459999999999999E-2</v>
      </c>
      <c r="X514" s="9"/>
      <c r="Y514" s="11">
        <v>0.80701000000000001</v>
      </c>
      <c r="AA514">
        <v>812.5</v>
      </c>
      <c r="AG514" s="9"/>
      <c r="AH514">
        <v>15.8</v>
      </c>
      <c r="AI514">
        <f t="shared" si="62"/>
        <v>0.158</v>
      </c>
    </row>
    <row r="515" spans="1:35" x14ac:dyDescent="0.3">
      <c r="A515" s="15"/>
      <c r="B515" s="1"/>
      <c r="C515" s="1">
        <v>338.32</v>
      </c>
      <c r="D515" s="33">
        <v>3.526E-2</v>
      </c>
      <c r="E515" s="25"/>
      <c r="F515" s="25"/>
      <c r="L515" s="26">
        <f t="shared" si="61"/>
        <v>3.526E-2</v>
      </c>
      <c r="X515" s="9"/>
      <c r="Y515" s="11">
        <v>1.42353</v>
      </c>
      <c r="AA515">
        <v>812.5</v>
      </c>
      <c r="AG515" s="9"/>
      <c r="AH515">
        <v>11.27</v>
      </c>
      <c r="AI515">
        <f t="shared" si="62"/>
        <v>0.11269999999999999</v>
      </c>
    </row>
    <row r="516" spans="1:35" x14ac:dyDescent="0.3">
      <c r="A516" s="15"/>
      <c r="B516" s="1" t="s">
        <v>12</v>
      </c>
      <c r="C516" s="1">
        <v>2614.5300000000002</v>
      </c>
      <c r="D516" s="34">
        <v>7.2193552000000003E-3</v>
      </c>
      <c r="E516" s="26"/>
      <c r="F516" s="26"/>
      <c r="L516" s="26">
        <f t="shared" si="61"/>
        <v>1.9396143100000006E-3</v>
      </c>
      <c r="U516">
        <f t="shared" ref="U516:U547" si="63">(L516/Y516)*AA516</f>
        <v>2.2500844199303254</v>
      </c>
      <c r="X516" s="9" t="s">
        <v>12</v>
      </c>
      <c r="Y516" s="11">
        <v>0.70038999999999996</v>
      </c>
      <c r="AA516">
        <v>812.5</v>
      </c>
      <c r="AG516" s="9" t="s">
        <v>12</v>
      </c>
      <c r="AH516">
        <v>99.754000000000005</v>
      </c>
      <c r="AI516">
        <f t="shared" si="62"/>
        <v>0.99754000000000009</v>
      </c>
    </row>
    <row r="517" spans="1:35" x14ac:dyDescent="0.3">
      <c r="A517" s="15"/>
      <c r="B517" s="1"/>
      <c r="C517" s="1">
        <v>583.19000000000005</v>
      </c>
      <c r="D517" s="29">
        <v>5.3900000000000003E-2</v>
      </c>
      <c r="E517" s="25"/>
      <c r="F517" s="25"/>
      <c r="L517" s="26">
        <f t="shared" si="61"/>
        <v>5.3900000000000003E-2</v>
      </c>
      <c r="U517">
        <f t="shared" si="63"/>
        <v>20.302424121609405</v>
      </c>
      <c r="X517" s="9"/>
      <c r="Y517" s="9">
        <v>2.15707</v>
      </c>
      <c r="AA517">
        <v>812.5</v>
      </c>
      <c r="AG517" s="9"/>
      <c r="AH517">
        <v>85</v>
      </c>
      <c r="AI517">
        <f t="shared" si="62"/>
        <v>0.85</v>
      </c>
    </row>
    <row r="518" spans="1:35" x14ac:dyDescent="0.3">
      <c r="A518" s="15"/>
      <c r="B518" s="1"/>
      <c r="C518" s="1">
        <v>510.77</v>
      </c>
      <c r="D518" s="30">
        <v>3.5139999999999998E-2</v>
      </c>
      <c r="E518" s="26"/>
      <c r="F518" s="26"/>
      <c r="L518" s="26">
        <f t="shared" si="61"/>
        <v>1.3269999999999997E-2</v>
      </c>
      <c r="U518">
        <f t="shared" si="63"/>
        <v>16.026093612973227</v>
      </c>
      <c r="X518" s="9"/>
      <c r="Y518" s="11">
        <v>0.67276999999999998</v>
      </c>
      <c r="AA518">
        <v>812.5</v>
      </c>
      <c r="AG518" s="9"/>
      <c r="AH518">
        <v>22.6</v>
      </c>
      <c r="AI518">
        <f t="shared" si="62"/>
        <v>0.22600000000000001</v>
      </c>
    </row>
    <row r="519" spans="1:35" x14ac:dyDescent="0.3">
      <c r="A519" s="15"/>
      <c r="B519" s="1"/>
      <c r="C519" s="1">
        <v>860.56</v>
      </c>
      <c r="D519" s="32">
        <v>5.7516875299999997E-3</v>
      </c>
      <c r="E519" s="25"/>
      <c r="F519" s="25"/>
      <c r="L519" s="26">
        <f t="shared" si="61"/>
        <v>5.7516875299999997E-3</v>
      </c>
      <c r="U519">
        <f t="shared" si="63"/>
        <v>19.10410480796746</v>
      </c>
      <c r="X519" s="9"/>
      <c r="Y519" s="11">
        <v>0.24462</v>
      </c>
      <c r="AA519">
        <v>812.5</v>
      </c>
      <c r="AG519" s="9"/>
      <c r="AH519">
        <v>12.5</v>
      </c>
      <c r="AI519">
        <f t="shared" si="62"/>
        <v>0.125</v>
      </c>
    </row>
    <row r="520" spans="1:35" x14ac:dyDescent="0.3">
      <c r="A520" s="21">
        <v>45</v>
      </c>
      <c r="B520" s="1" t="s">
        <v>7</v>
      </c>
      <c r="C520" s="1">
        <v>351.93</v>
      </c>
      <c r="D520" s="30">
        <v>0.33435999999999999</v>
      </c>
      <c r="E520" s="25"/>
      <c r="F520" s="25"/>
      <c r="K520">
        <v>45</v>
      </c>
      <c r="L520" s="26">
        <f>D520-I170</f>
        <v>0.33062330451999999</v>
      </c>
      <c r="T520">
        <v>45</v>
      </c>
      <c r="U520">
        <f t="shared" si="63"/>
        <v>59.249897997401668</v>
      </c>
      <c r="X520" s="9" t="s">
        <v>7</v>
      </c>
      <c r="Y520" s="11">
        <v>6.8928799999999999</v>
      </c>
      <c r="AA520">
        <v>1235.25</v>
      </c>
      <c r="AG520" s="9" t="s">
        <v>7</v>
      </c>
      <c r="AH520">
        <v>35.72</v>
      </c>
      <c r="AI520">
        <f>AH520/100</f>
        <v>0.35719999999999996</v>
      </c>
    </row>
    <row r="521" spans="1:35" x14ac:dyDescent="0.3">
      <c r="A521" s="15"/>
      <c r="B521" s="1"/>
      <c r="C521" s="1">
        <v>295.22000000000003</v>
      </c>
      <c r="D521" s="30">
        <v>0.19383</v>
      </c>
      <c r="E521" s="26"/>
      <c r="F521" s="26"/>
      <c r="L521" s="26">
        <f t="shared" ref="L521:L533" si="64">D521-I171</f>
        <v>0.19383</v>
      </c>
      <c r="U521">
        <f t="shared" si="63"/>
        <v>58.679143077714869</v>
      </c>
      <c r="X521" s="9"/>
      <c r="Y521" s="11">
        <v>4.0803000000000003</v>
      </c>
      <c r="AA521">
        <v>1235.25</v>
      </c>
      <c r="AG521" s="9"/>
      <c r="AH521">
        <v>18.47</v>
      </c>
      <c r="AI521">
        <f t="shared" si="62"/>
        <v>0.18469999999999998</v>
      </c>
    </row>
    <row r="522" spans="1:35" x14ac:dyDescent="0.3">
      <c r="A522" s="15"/>
      <c r="B522" s="1" t="s">
        <v>8</v>
      </c>
      <c r="C522" s="1">
        <v>609.32000000000005</v>
      </c>
      <c r="D522" s="30">
        <v>0.22724</v>
      </c>
      <c r="E522" s="25"/>
      <c r="F522" s="25"/>
      <c r="L522" s="26">
        <f t="shared" si="64"/>
        <v>0.22724</v>
      </c>
      <c r="U522">
        <f t="shared" si="63"/>
        <v>57.566130719222322</v>
      </c>
      <c r="X522" s="9" t="s">
        <v>8</v>
      </c>
      <c r="Y522" s="11">
        <v>4.8761000000000001</v>
      </c>
      <c r="AA522">
        <v>1235.25</v>
      </c>
      <c r="AG522" s="9" t="s">
        <v>8</v>
      </c>
      <c r="AH522">
        <v>45.44</v>
      </c>
      <c r="AI522">
        <f t="shared" si="62"/>
        <v>0.45439999999999997</v>
      </c>
    </row>
    <row r="523" spans="1:35" x14ac:dyDescent="0.3">
      <c r="A523" s="15"/>
      <c r="B523" s="1"/>
      <c r="C523" s="1">
        <v>1764.49</v>
      </c>
      <c r="D523" s="33">
        <v>3.4360000000000002E-2</v>
      </c>
      <c r="E523" s="25"/>
      <c r="F523" s="18"/>
      <c r="L523" s="26">
        <f t="shared" si="64"/>
        <v>3.4360000000000002E-2</v>
      </c>
      <c r="U523">
        <f t="shared" si="63"/>
        <v>55.72605167795809</v>
      </c>
      <c r="X523" s="9"/>
      <c r="Y523" s="11">
        <v>0.76163999999999998</v>
      </c>
      <c r="AA523">
        <v>1235.25</v>
      </c>
      <c r="AG523" s="9"/>
      <c r="AH523">
        <v>15.29</v>
      </c>
      <c r="AI523">
        <f t="shared" si="62"/>
        <v>0.15289999999999998</v>
      </c>
    </row>
    <row r="524" spans="1:35" x14ac:dyDescent="0.3">
      <c r="A524" s="15"/>
      <c r="B524" s="1"/>
      <c r="C524" s="1">
        <v>1120.29</v>
      </c>
      <c r="D524" s="30">
        <v>4.5760000000000002E-2</v>
      </c>
      <c r="E524" s="25"/>
      <c r="F524" s="25"/>
      <c r="L524" s="26">
        <f t="shared" si="64"/>
        <v>4.5760000000000002E-2</v>
      </c>
      <c r="U524">
        <f t="shared" si="63"/>
        <v>57.628628230616307</v>
      </c>
      <c r="X524" s="9"/>
      <c r="Y524" s="11">
        <v>0.98085</v>
      </c>
      <c r="AA524">
        <v>1235.25</v>
      </c>
      <c r="AG524" s="9"/>
      <c r="AH524">
        <v>14.9</v>
      </c>
      <c r="AI524">
        <f t="shared" si="62"/>
        <v>0.14899999999999999</v>
      </c>
    </row>
    <row r="525" spans="1:35" x14ac:dyDescent="0.3">
      <c r="A525" s="15"/>
      <c r="B525" s="1" t="s">
        <v>9</v>
      </c>
      <c r="C525" s="1">
        <v>1460.82</v>
      </c>
      <c r="D525" s="29">
        <v>3.8850000000000003E-2</v>
      </c>
      <c r="E525" s="25"/>
      <c r="F525" s="25"/>
      <c r="L525" s="26">
        <f t="shared" si="64"/>
        <v>3.3366680920000003E-2</v>
      </c>
      <c r="X525" s="9" t="s">
        <v>9</v>
      </c>
      <c r="Y525" s="9">
        <v>1.74254</v>
      </c>
      <c r="AA525">
        <v>3545</v>
      </c>
      <c r="AG525" s="9" t="s">
        <v>9</v>
      </c>
      <c r="AH525">
        <v>10.66</v>
      </c>
      <c r="AI525">
        <f t="shared" si="62"/>
        <v>0.1066</v>
      </c>
    </row>
    <row r="526" spans="1:35" x14ac:dyDescent="0.3">
      <c r="A526" s="15"/>
      <c r="B526" s="1" t="s">
        <v>10</v>
      </c>
      <c r="C526" s="1">
        <v>238.63</v>
      </c>
      <c r="D526" s="29">
        <v>0.89522000000000002</v>
      </c>
      <c r="E526" s="25"/>
      <c r="F526" s="25"/>
      <c r="L526" s="26">
        <f t="shared" si="64"/>
        <v>0.89167663753000004</v>
      </c>
      <c r="X526" s="9" t="s">
        <v>10</v>
      </c>
      <c r="Y526" s="11">
        <v>7.7333699999999999</v>
      </c>
      <c r="AA526">
        <v>812.5</v>
      </c>
      <c r="AG526" s="9" t="s">
        <v>10</v>
      </c>
      <c r="AH526">
        <v>43.6</v>
      </c>
      <c r="AI526">
        <f t="shared" si="62"/>
        <v>0.436</v>
      </c>
    </row>
    <row r="527" spans="1:35" x14ac:dyDescent="0.3">
      <c r="A527" s="15"/>
      <c r="B527" s="1" t="s">
        <v>11</v>
      </c>
      <c r="C527" s="1">
        <v>911.21</v>
      </c>
      <c r="D527" s="33">
        <v>0.16536000000000001</v>
      </c>
      <c r="E527" s="25"/>
      <c r="F527" s="25"/>
      <c r="L527" s="26">
        <f t="shared" si="64"/>
        <v>0.16536000000000001</v>
      </c>
      <c r="X527" s="9" t="s">
        <v>11</v>
      </c>
      <c r="Y527" s="11">
        <v>1.39327</v>
      </c>
      <c r="AA527">
        <v>812.5</v>
      </c>
      <c r="AG527" s="9" t="s">
        <v>11</v>
      </c>
      <c r="AH527">
        <v>25.8</v>
      </c>
      <c r="AI527">
        <f t="shared" si="62"/>
        <v>0.25800000000000001</v>
      </c>
    </row>
    <row r="528" spans="1:35" x14ac:dyDescent="0.3">
      <c r="A528" s="15"/>
      <c r="B528" s="1"/>
      <c r="C528" s="1">
        <v>968.97</v>
      </c>
      <c r="D528" s="30">
        <v>9.7619999999999998E-2</v>
      </c>
      <c r="E528" s="18"/>
      <c r="F528" s="18"/>
      <c r="L528" s="26">
        <f t="shared" si="64"/>
        <v>9.7619999999999998E-2</v>
      </c>
      <c r="X528" s="9"/>
      <c r="Y528" s="11">
        <v>0.80701000000000001</v>
      </c>
      <c r="AA528">
        <v>812.5</v>
      </c>
      <c r="AG528" s="9"/>
      <c r="AH528">
        <v>15.8</v>
      </c>
      <c r="AI528">
        <f t="shared" si="62"/>
        <v>0.158</v>
      </c>
    </row>
    <row r="529" spans="1:35" x14ac:dyDescent="0.3">
      <c r="A529" s="15"/>
      <c r="B529" s="1"/>
      <c r="C529" s="1">
        <v>338.32</v>
      </c>
      <c r="D529" s="33">
        <v>0.16536000000000001</v>
      </c>
      <c r="E529" s="25"/>
      <c r="F529" s="25"/>
      <c r="L529" s="26">
        <f t="shared" si="64"/>
        <v>0.16536000000000001</v>
      </c>
      <c r="X529" s="9"/>
      <c r="Y529" s="11">
        <v>1.42353</v>
      </c>
      <c r="AA529">
        <v>812.5</v>
      </c>
      <c r="AG529" s="9"/>
      <c r="AH529">
        <v>11.27</v>
      </c>
      <c r="AI529">
        <f t="shared" si="62"/>
        <v>0.11269999999999999</v>
      </c>
    </row>
    <row r="530" spans="1:35" x14ac:dyDescent="0.3">
      <c r="A530" s="15"/>
      <c r="B530" s="1" t="s">
        <v>12</v>
      </c>
      <c r="C530" s="1">
        <v>2614.5300000000002</v>
      </c>
      <c r="D530" s="30">
        <v>8.6019999999999999E-2</v>
      </c>
      <c r="E530" s="25"/>
      <c r="F530" s="25"/>
      <c r="L530" s="26">
        <f t="shared" si="64"/>
        <v>8.0740259110000004E-2</v>
      </c>
      <c r="U530">
        <f t="shared" si="63"/>
        <v>93.66418784802039</v>
      </c>
      <c r="X530" s="9" t="s">
        <v>12</v>
      </c>
      <c r="Y530" s="11">
        <v>0.70038999999999996</v>
      </c>
      <c r="AA530">
        <v>812.5</v>
      </c>
      <c r="AG530" s="9" t="s">
        <v>12</v>
      </c>
      <c r="AH530">
        <v>99.754000000000005</v>
      </c>
      <c r="AI530">
        <f t="shared" si="62"/>
        <v>0.99754000000000009</v>
      </c>
    </row>
    <row r="531" spans="1:35" x14ac:dyDescent="0.3">
      <c r="A531" s="15"/>
      <c r="B531" s="1"/>
      <c r="C531" s="1">
        <v>583.19000000000005</v>
      </c>
      <c r="D531" s="30">
        <v>0.25302999999999998</v>
      </c>
      <c r="E531" s="25"/>
      <c r="F531" s="25"/>
      <c r="L531" s="26">
        <f t="shared" si="64"/>
        <v>0.25302999999999998</v>
      </c>
      <c r="U531">
        <f t="shared" si="63"/>
        <v>95.308392866249122</v>
      </c>
      <c r="X531" s="9"/>
      <c r="Y531" s="9">
        <v>2.15707</v>
      </c>
      <c r="AA531">
        <v>812.5</v>
      </c>
      <c r="AG531" s="9"/>
      <c r="AH531">
        <v>85</v>
      </c>
      <c r="AI531">
        <f t="shared" si="62"/>
        <v>0.85</v>
      </c>
    </row>
    <row r="532" spans="1:35" x14ac:dyDescent="0.3">
      <c r="A532" s="15"/>
      <c r="B532" s="1"/>
      <c r="C532" s="1">
        <v>510.77</v>
      </c>
      <c r="D532" s="30">
        <v>9.5280000000000004E-2</v>
      </c>
      <c r="E532" s="25"/>
      <c r="F532" s="25"/>
      <c r="L532" s="26">
        <f t="shared" si="64"/>
        <v>7.3410000000000003E-2</v>
      </c>
      <c r="U532">
        <f t="shared" si="63"/>
        <v>88.656784636651466</v>
      </c>
      <c r="X532" s="9"/>
      <c r="Y532" s="11">
        <v>0.67276999999999998</v>
      </c>
      <c r="AA532">
        <v>812.5</v>
      </c>
      <c r="AG532" s="9"/>
      <c r="AH532">
        <v>22.6</v>
      </c>
      <c r="AI532">
        <f t="shared" si="62"/>
        <v>0.22600000000000001</v>
      </c>
    </row>
    <row r="533" spans="1:35" x14ac:dyDescent="0.3">
      <c r="A533" s="15"/>
      <c r="B533" s="1"/>
      <c r="C533" s="1">
        <v>860.56</v>
      </c>
      <c r="D533" s="33">
        <v>2.9049999999999999E-2</v>
      </c>
      <c r="E533" s="25"/>
      <c r="F533" s="25"/>
      <c r="L533" s="26">
        <f t="shared" si="64"/>
        <v>2.9049999999999999E-2</v>
      </c>
      <c r="U533">
        <f t="shared" si="63"/>
        <v>96.488942032540265</v>
      </c>
      <c r="X533" s="9"/>
      <c r="Y533" s="11">
        <v>0.24462</v>
      </c>
      <c r="AA533">
        <v>812.5</v>
      </c>
      <c r="AG533" s="9"/>
      <c r="AH533">
        <v>12.5</v>
      </c>
      <c r="AI533">
        <f t="shared" si="62"/>
        <v>0.125</v>
      </c>
    </row>
    <row r="534" spans="1:35" x14ac:dyDescent="0.3">
      <c r="A534" s="15">
        <v>46</v>
      </c>
      <c r="B534" s="1" t="s">
        <v>7</v>
      </c>
      <c r="C534" s="1">
        <v>351.93</v>
      </c>
      <c r="D534" s="29">
        <v>0.13285</v>
      </c>
      <c r="E534" s="25"/>
      <c r="F534" s="20"/>
      <c r="K534">
        <v>46</v>
      </c>
      <c r="L534" s="26">
        <f>D534-I170</f>
        <v>0.12911330452</v>
      </c>
      <c r="T534">
        <v>46</v>
      </c>
      <c r="U534">
        <f t="shared" si="63"/>
        <v>23.137964016250102</v>
      </c>
      <c r="X534" s="9" t="s">
        <v>7</v>
      </c>
      <c r="Y534" s="11">
        <v>6.8928799999999999</v>
      </c>
      <c r="AA534">
        <v>1235.25</v>
      </c>
      <c r="AG534" s="9" t="s">
        <v>7</v>
      </c>
      <c r="AH534">
        <v>35.72</v>
      </c>
      <c r="AI534">
        <f>AH534/100</f>
        <v>0.35719999999999996</v>
      </c>
    </row>
    <row r="535" spans="1:35" x14ac:dyDescent="0.3">
      <c r="A535" s="15"/>
      <c r="B535" s="1"/>
      <c r="C535" s="1">
        <v>295.22000000000003</v>
      </c>
      <c r="D535" s="29">
        <v>7.8189999999999996E-2</v>
      </c>
      <c r="E535" s="25"/>
      <c r="F535" s="25"/>
      <c r="L535" s="26">
        <f t="shared" ref="L535:L547" si="65">D535-I171</f>
        <v>7.8189999999999996E-2</v>
      </c>
      <c r="U535">
        <f t="shared" si="63"/>
        <v>23.670856922285125</v>
      </c>
      <c r="X535" s="9"/>
      <c r="Y535" s="11">
        <v>4.0803000000000003</v>
      </c>
      <c r="AA535">
        <v>1235.25</v>
      </c>
      <c r="AG535" s="9"/>
      <c r="AH535">
        <v>18.47</v>
      </c>
      <c r="AI535">
        <f t="shared" ref="AI535:AI547" si="66">AH535/100</f>
        <v>0.18469999999999998</v>
      </c>
    </row>
    <row r="536" spans="1:35" x14ac:dyDescent="0.3">
      <c r="A536" s="15"/>
      <c r="B536" s="1" t="s">
        <v>8</v>
      </c>
      <c r="C536" s="1">
        <v>609.32000000000005</v>
      </c>
      <c r="D536" s="29">
        <v>9.6119999999999997E-2</v>
      </c>
      <c r="E536" s="25"/>
      <c r="F536" s="25"/>
      <c r="L536" s="26">
        <f t="shared" si="65"/>
        <v>9.6119999999999997E-2</v>
      </c>
      <c r="U536">
        <f t="shared" si="63"/>
        <v>24.349834909046162</v>
      </c>
      <c r="X536" s="9" t="s">
        <v>8</v>
      </c>
      <c r="Y536" s="11">
        <v>4.8761000000000001</v>
      </c>
      <c r="AA536">
        <v>1235.25</v>
      </c>
      <c r="AG536" s="9" t="s">
        <v>8</v>
      </c>
      <c r="AH536">
        <v>45.44</v>
      </c>
      <c r="AI536">
        <f t="shared" si="66"/>
        <v>0.45439999999999997</v>
      </c>
    </row>
    <row r="537" spans="1:35" x14ac:dyDescent="0.3">
      <c r="A537" s="15"/>
      <c r="B537" s="1"/>
      <c r="C537" s="1">
        <v>1764.49</v>
      </c>
      <c r="D537" s="29">
        <v>1.342E-2</v>
      </c>
      <c r="E537" s="25"/>
      <c r="F537" s="25"/>
      <c r="L537" s="26">
        <f t="shared" si="65"/>
        <v>1.342E-2</v>
      </c>
      <c r="U537">
        <f t="shared" si="63"/>
        <v>21.764948006932407</v>
      </c>
      <c r="X537" s="9"/>
      <c r="Y537" s="11">
        <v>0.76163999999999998</v>
      </c>
      <c r="AA537">
        <v>1235.25</v>
      </c>
      <c r="AG537" s="9"/>
      <c r="AH537">
        <v>15.29</v>
      </c>
      <c r="AI537">
        <f t="shared" si="66"/>
        <v>0.15289999999999998</v>
      </c>
    </row>
    <row r="538" spans="1:35" x14ac:dyDescent="0.3">
      <c r="A538" s="15"/>
      <c r="B538" s="1"/>
      <c r="C538" s="1">
        <v>1120.29</v>
      </c>
      <c r="D538" s="29">
        <v>1.8280000000000001E-2</v>
      </c>
      <c r="E538" s="25"/>
      <c r="F538" s="20"/>
      <c r="L538" s="26">
        <f t="shared" si="65"/>
        <v>1.8280000000000001E-2</v>
      </c>
      <c r="U538">
        <f t="shared" si="63"/>
        <v>23.021226487230464</v>
      </c>
      <c r="X538" s="9"/>
      <c r="Y538" s="11">
        <v>0.98085</v>
      </c>
      <c r="AA538">
        <v>1235.25</v>
      </c>
      <c r="AG538" s="9"/>
      <c r="AH538">
        <v>14.9</v>
      </c>
      <c r="AI538">
        <f t="shared" si="66"/>
        <v>0.14899999999999999</v>
      </c>
    </row>
    <row r="539" spans="1:35" x14ac:dyDescent="0.3">
      <c r="A539" s="15"/>
      <c r="B539" s="1" t="s">
        <v>9</v>
      </c>
      <c r="C539" s="1">
        <v>1460.82</v>
      </c>
      <c r="D539" s="33">
        <v>2.699E-2</v>
      </c>
      <c r="E539" s="26"/>
      <c r="F539" s="26"/>
      <c r="L539" s="26">
        <f t="shared" si="65"/>
        <v>2.150668092E-2</v>
      </c>
      <c r="X539" s="9" t="s">
        <v>9</v>
      </c>
      <c r="Y539" s="9">
        <v>1.74254</v>
      </c>
      <c r="AA539">
        <v>3545</v>
      </c>
      <c r="AG539" s="9" t="s">
        <v>9</v>
      </c>
      <c r="AH539">
        <v>10.66</v>
      </c>
      <c r="AI539">
        <f t="shared" si="66"/>
        <v>0.1066</v>
      </c>
    </row>
    <row r="540" spans="1:35" x14ac:dyDescent="0.3">
      <c r="A540" s="15"/>
      <c r="B540" s="1" t="s">
        <v>10</v>
      </c>
      <c r="C540" s="1">
        <v>238.63</v>
      </c>
      <c r="D540" s="29">
        <v>0.29037000000000002</v>
      </c>
      <c r="E540" s="25"/>
      <c r="F540" s="25"/>
      <c r="L540" s="26">
        <f t="shared" si="65"/>
        <v>0.28682663753000004</v>
      </c>
      <c r="X540" s="9" t="s">
        <v>10</v>
      </c>
      <c r="Y540" s="11">
        <v>7.7333699999999999</v>
      </c>
      <c r="AA540">
        <v>812.5</v>
      </c>
      <c r="AG540" s="9" t="s">
        <v>10</v>
      </c>
      <c r="AH540">
        <v>43.6</v>
      </c>
      <c r="AI540">
        <f t="shared" si="66"/>
        <v>0.436</v>
      </c>
    </row>
    <row r="541" spans="1:35" x14ac:dyDescent="0.3">
      <c r="A541" s="15"/>
      <c r="B541" s="1" t="s">
        <v>11</v>
      </c>
      <c r="C541" s="1">
        <v>911.21</v>
      </c>
      <c r="D541" s="29">
        <v>5.595E-2</v>
      </c>
      <c r="E541" s="25"/>
      <c r="F541" s="25"/>
      <c r="L541" s="26">
        <f t="shared" si="65"/>
        <v>5.595E-2</v>
      </c>
      <c r="X541" s="9" t="s">
        <v>11</v>
      </c>
      <c r="Y541" s="11">
        <v>1.39327</v>
      </c>
      <c r="AA541">
        <v>812.5</v>
      </c>
      <c r="AG541" s="9" t="s">
        <v>11</v>
      </c>
      <c r="AH541">
        <v>25.8</v>
      </c>
      <c r="AI541">
        <f t="shared" si="66"/>
        <v>0.25800000000000001</v>
      </c>
    </row>
    <row r="542" spans="1:35" x14ac:dyDescent="0.3">
      <c r="A542" s="15"/>
      <c r="B542" s="1"/>
      <c r="C542" s="1">
        <v>968.97</v>
      </c>
      <c r="D542" s="33">
        <v>3.1280000000000002E-2</v>
      </c>
      <c r="E542" s="25"/>
      <c r="F542" s="25"/>
      <c r="L542" s="26">
        <f t="shared" si="65"/>
        <v>3.1280000000000002E-2</v>
      </c>
      <c r="X542" s="9"/>
      <c r="Y542" s="11">
        <v>0.80701000000000001</v>
      </c>
      <c r="AA542">
        <v>812.5</v>
      </c>
      <c r="AG542" s="9"/>
      <c r="AH542">
        <v>15.8</v>
      </c>
      <c r="AI542">
        <f t="shared" si="66"/>
        <v>0.158</v>
      </c>
    </row>
    <row r="543" spans="1:35" x14ac:dyDescent="0.3">
      <c r="A543" s="15"/>
      <c r="B543" s="1"/>
      <c r="C543" s="1">
        <v>338.32</v>
      </c>
      <c r="D543" s="29">
        <v>6.1100000000000002E-2</v>
      </c>
      <c r="E543" s="25"/>
      <c r="F543" s="25"/>
      <c r="L543" s="26">
        <f t="shared" si="65"/>
        <v>6.1100000000000002E-2</v>
      </c>
      <c r="X543" s="9"/>
      <c r="Y543" s="11">
        <v>1.42353</v>
      </c>
      <c r="AA543">
        <v>812.5</v>
      </c>
      <c r="AG543" s="9"/>
      <c r="AH543">
        <v>11.27</v>
      </c>
      <c r="AI543">
        <f t="shared" si="66"/>
        <v>0.11269999999999999</v>
      </c>
    </row>
    <row r="544" spans="1:35" x14ac:dyDescent="0.3">
      <c r="A544" s="15"/>
      <c r="B544" s="1" t="s">
        <v>12</v>
      </c>
      <c r="C544" s="1">
        <v>2614.5300000000002</v>
      </c>
      <c r="D544" s="29">
        <v>2.8899999999999999E-2</v>
      </c>
      <c r="E544" s="25"/>
      <c r="F544" s="25"/>
      <c r="L544" s="26">
        <f t="shared" si="65"/>
        <v>2.362025911E-2</v>
      </c>
      <c r="U544">
        <f t="shared" si="63"/>
        <v>27.401105850847387</v>
      </c>
      <c r="X544" s="9" t="s">
        <v>12</v>
      </c>
      <c r="Y544" s="11">
        <v>0.70038999999999996</v>
      </c>
      <c r="AA544">
        <v>812.5</v>
      </c>
      <c r="AG544" s="9" t="s">
        <v>12</v>
      </c>
      <c r="AH544">
        <v>99.754000000000005</v>
      </c>
      <c r="AI544">
        <f t="shared" si="66"/>
        <v>0.99754000000000009</v>
      </c>
    </row>
    <row r="545" spans="1:35" x14ac:dyDescent="0.3">
      <c r="A545" s="15"/>
      <c r="B545" s="1"/>
      <c r="C545" s="1">
        <v>583.19000000000005</v>
      </c>
      <c r="D545" s="29">
        <v>8.2960000000000006E-2</v>
      </c>
      <c r="E545" s="25"/>
      <c r="F545" s="25"/>
      <c r="L545" s="26">
        <f t="shared" si="65"/>
        <v>8.2960000000000006E-2</v>
      </c>
      <c r="U545">
        <f t="shared" si="63"/>
        <v>31.248406403130176</v>
      </c>
      <c r="X545" s="9"/>
      <c r="Y545" s="9">
        <v>2.15707</v>
      </c>
      <c r="AA545">
        <v>812.5</v>
      </c>
      <c r="AG545" s="9"/>
      <c r="AH545">
        <v>85</v>
      </c>
      <c r="AI545">
        <f t="shared" si="66"/>
        <v>0.85</v>
      </c>
    </row>
    <row r="546" spans="1:35" x14ac:dyDescent="0.3">
      <c r="A546" s="15"/>
      <c r="B546" s="1"/>
      <c r="C546" s="1">
        <v>510.77</v>
      </c>
      <c r="D546" s="29">
        <v>4.5719999999999997E-2</v>
      </c>
      <c r="E546" s="25"/>
      <c r="F546" s="25"/>
      <c r="L546" s="26">
        <f t="shared" si="65"/>
        <v>2.3849999999999996E-2</v>
      </c>
      <c r="U546">
        <f t="shared" si="63"/>
        <v>28.8034915349971</v>
      </c>
      <c r="X546" s="9"/>
      <c r="Y546" s="11">
        <v>0.67276999999999998</v>
      </c>
      <c r="AA546">
        <v>812.5</v>
      </c>
      <c r="AG546" s="9"/>
      <c r="AH546">
        <v>22.6</v>
      </c>
      <c r="AI546">
        <f t="shared" si="66"/>
        <v>0.22600000000000001</v>
      </c>
    </row>
    <row r="547" spans="1:35" x14ac:dyDescent="0.3">
      <c r="A547" s="15"/>
      <c r="B547" s="1"/>
      <c r="C547" s="1">
        <v>860.56</v>
      </c>
      <c r="D547" s="34">
        <v>5.4005960199999996E-3</v>
      </c>
      <c r="E547" s="25"/>
      <c r="F547" s="25"/>
      <c r="L547" s="26">
        <f t="shared" si="65"/>
        <v>5.4005960199999996E-3</v>
      </c>
      <c r="U547">
        <f t="shared" si="63"/>
        <v>17.937962007399232</v>
      </c>
      <c r="X547" s="9"/>
      <c r="Y547" s="11">
        <v>0.24462</v>
      </c>
      <c r="AA547">
        <v>812.5</v>
      </c>
      <c r="AG547" s="9"/>
      <c r="AH547">
        <v>12.5</v>
      </c>
      <c r="AI547">
        <f t="shared" si="66"/>
        <v>0.125</v>
      </c>
    </row>
    <row r="548" spans="1:35" x14ac:dyDescent="0.3">
      <c r="A548" s="16"/>
      <c r="D548" s="18"/>
      <c r="E548" s="25"/>
      <c r="F548" s="25"/>
      <c r="AG548" s="9"/>
    </row>
    <row r="549" spans="1:35" x14ac:dyDescent="0.3">
      <c r="A549" s="16"/>
      <c r="D549" s="20"/>
      <c r="E549" s="26"/>
      <c r="F549" s="26"/>
      <c r="AG549" s="9"/>
    </row>
    <row r="550" spans="1:35" x14ac:dyDescent="0.3">
      <c r="AG550" s="9"/>
    </row>
    <row r="551" spans="1:35" x14ac:dyDescent="0.3">
      <c r="AG551" s="9"/>
    </row>
    <row r="552" spans="1:35" x14ac:dyDescent="0.3">
      <c r="AG552" s="9"/>
    </row>
    <row r="553" spans="1:35" x14ac:dyDescent="0.3">
      <c r="AG553" s="9"/>
    </row>
    <row r="554" spans="1:35" x14ac:dyDescent="0.3">
      <c r="AG554" s="9"/>
    </row>
    <row r="555" spans="1:35" x14ac:dyDescent="0.3">
      <c r="AG555" s="9"/>
    </row>
    <row r="556" spans="1:35" x14ac:dyDescent="0.3">
      <c r="AG556" s="9"/>
    </row>
    <row r="557" spans="1:35" x14ac:dyDescent="0.3">
      <c r="AG557" s="9"/>
    </row>
    <row r="558" spans="1:35" x14ac:dyDescent="0.3">
      <c r="AG558" s="9"/>
    </row>
    <row r="559" spans="1:35" x14ac:dyDescent="0.3">
      <c r="AG559" s="9"/>
    </row>
    <row r="560" spans="1:35" x14ac:dyDescent="0.3">
      <c r="AG560" s="9"/>
    </row>
    <row r="561" spans="33:33" x14ac:dyDescent="0.3">
      <c r="AG561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9986-511A-40B8-98A5-D77D606097DA}">
  <dimension ref="A1:AL158"/>
  <sheetViews>
    <sheetView topLeftCell="W1" zoomScale="109" workbookViewId="0">
      <selection activeCell="AL3" sqref="AL3:AL155"/>
    </sheetView>
  </sheetViews>
  <sheetFormatPr defaultRowHeight="14.4" x14ac:dyDescent="0.3"/>
  <sheetData>
    <row r="1" spans="1:38" x14ac:dyDescent="0.3">
      <c r="A1" t="s">
        <v>246</v>
      </c>
      <c r="J1" t="s">
        <v>8</v>
      </c>
      <c r="S1" t="s">
        <v>9</v>
      </c>
      <c r="V1" t="s">
        <v>10</v>
      </c>
      <c r="Y1" t="s">
        <v>11</v>
      </c>
      <c r="AG1" t="s">
        <v>12</v>
      </c>
    </row>
    <row r="2" spans="1:38" x14ac:dyDescent="0.3">
      <c r="B2" t="s">
        <v>247</v>
      </c>
      <c r="D2" t="s">
        <v>244</v>
      </c>
      <c r="F2" t="s">
        <v>248</v>
      </c>
      <c r="K2" t="s">
        <v>247</v>
      </c>
      <c r="M2" t="s">
        <v>244</v>
      </c>
      <c r="O2" t="s">
        <v>249</v>
      </c>
      <c r="T2" t="s">
        <v>247</v>
      </c>
      <c r="W2" t="s">
        <v>247</v>
      </c>
      <c r="Z2" t="s">
        <v>247</v>
      </c>
      <c r="AB2" t="s">
        <v>244</v>
      </c>
      <c r="AD2" t="s">
        <v>249</v>
      </c>
      <c r="AH2" t="s">
        <v>247</v>
      </c>
      <c r="AJ2" t="s">
        <v>244</v>
      </c>
      <c r="AL2" t="s">
        <v>249</v>
      </c>
    </row>
    <row r="3" spans="1:38" x14ac:dyDescent="0.3">
      <c r="A3">
        <v>1</v>
      </c>
      <c r="B3">
        <v>35.771441327862959</v>
      </c>
      <c r="D3">
        <v>0.35719999999999996</v>
      </c>
      <c r="F3">
        <f>((B3*$D$3)+(B4*$D$4))/$D$3+$D$4</f>
        <v>53.638609952749164</v>
      </c>
      <c r="J3">
        <v>1</v>
      </c>
      <c r="K3">
        <v>37.201136666598309</v>
      </c>
      <c r="M3">
        <v>0.45439999999999997</v>
      </c>
      <c r="O3">
        <f>((K3*$M$3)+(K4*$M$4)+(K5*$M$5))/$M$3+$M$4+$M$5</f>
        <v>62.829743102969196</v>
      </c>
      <c r="S3">
        <v>1</v>
      </c>
      <c r="T3">
        <v>20.764223990037529</v>
      </c>
      <c r="V3">
        <v>1</v>
      </c>
      <c r="W3">
        <v>34.796198164577667</v>
      </c>
      <c r="Y3">
        <v>1</v>
      </c>
      <c r="Z3">
        <v>41.905911991214907</v>
      </c>
      <c r="AB3">
        <v>0.25800000000000001</v>
      </c>
      <c r="AD3">
        <f>((Z3*$AB$3)+(Z4*$AB$4)+(Z5*$AB$5))/$AB$3+$AB$4+$AB$5</f>
        <v>87.720126049122214</v>
      </c>
      <c r="AG3">
        <v>1</v>
      </c>
      <c r="AH3">
        <v>51.826235299261839</v>
      </c>
      <c r="AJ3">
        <v>0.99754000000000009</v>
      </c>
      <c r="AL3">
        <f>((AH3*$AJ$3)+(AH4*$AJ$4)+(AH5*$AJ$5)+(AH6*$AJ$6))/$AJ$3+$AJ$4+$AJ$5+$AJ$6</f>
        <v>113.96958844546681</v>
      </c>
    </row>
    <row r="4" spans="1:38" x14ac:dyDescent="0.3">
      <c r="B4">
        <v>34.196956106168663</v>
      </c>
      <c r="D4">
        <v>0.18469999999999998</v>
      </c>
      <c r="K4">
        <v>38.794154718764773</v>
      </c>
      <c r="M4">
        <v>0.15289999999999998</v>
      </c>
      <c r="S4">
        <v>2</v>
      </c>
      <c r="T4">
        <v>180.5246025179336</v>
      </c>
      <c r="V4">
        <v>2</v>
      </c>
      <c r="W4">
        <v>2478.5065404862303</v>
      </c>
      <c r="Z4">
        <v>45.487354555705629</v>
      </c>
      <c r="AB4">
        <v>0.158</v>
      </c>
      <c r="AH4">
        <v>45.806638171223</v>
      </c>
      <c r="AJ4">
        <v>0.85</v>
      </c>
    </row>
    <row r="5" spans="1:38" x14ac:dyDescent="0.3">
      <c r="A5">
        <v>2</v>
      </c>
      <c r="B5">
        <v>1044.4809266953725</v>
      </c>
      <c r="F5">
        <f t="shared" ref="F5:F67" si="0">((B5*$D$3)+(B6*$D$4))/$D$3+$D$4</f>
        <v>1580.5183116986077</v>
      </c>
      <c r="K5">
        <v>37.428383544884539</v>
      </c>
      <c r="M5">
        <v>0.14899999999999999</v>
      </c>
      <c r="S5">
        <v>3</v>
      </c>
      <c r="T5">
        <v>247.53729663112469</v>
      </c>
      <c r="V5">
        <v>3</v>
      </c>
      <c r="W5">
        <v>3011.1849685195457</v>
      </c>
      <c r="Z5">
        <v>40.490014260324692</v>
      </c>
      <c r="AB5">
        <v>0.11269999999999999</v>
      </c>
      <c r="AH5">
        <v>74.188615723055435</v>
      </c>
      <c r="AJ5">
        <v>0.22600000000000001</v>
      </c>
    </row>
    <row r="6" spans="1:38" x14ac:dyDescent="0.3">
      <c r="B6">
        <v>1036.3106609808103</v>
      </c>
      <c r="J6">
        <v>2</v>
      </c>
      <c r="K6">
        <v>1074.0754737392588</v>
      </c>
      <c r="O6">
        <f t="shared" ref="O6:O66" si="1">((K6*$M$3)+(K7*$M$4)+(K8*$M$5))/$M$3+$M$4+$M$5</f>
        <v>1806.2990191400327</v>
      </c>
      <c r="S6">
        <v>4</v>
      </c>
      <c r="T6">
        <v>142.07226818190691</v>
      </c>
      <c r="V6">
        <v>4</v>
      </c>
      <c r="W6">
        <v>2049.0680352363361</v>
      </c>
      <c r="Y6">
        <v>2</v>
      </c>
      <c r="Z6">
        <v>2666.8103633897235</v>
      </c>
      <c r="AD6">
        <f t="shared" ref="AD6:AD66" si="2">((Z6*$AB$3)+(Z7*$AB$4)+(Z8*$AB$5))/$AB$3+$AB$4+$AB$5</f>
        <v>5395.5475394320283</v>
      </c>
      <c r="AH6">
        <v>40.72132286812198</v>
      </c>
      <c r="AJ6">
        <v>0.125</v>
      </c>
    </row>
    <row r="7" spans="1:38" x14ac:dyDescent="0.3">
      <c r="A7">
        <v>3</v>
      </c>
      <c r="B7">
        <v>2954.5640686476481</v>
      </c>
      <c r="F7">
        <f t="shared" si="0"/>
        <v>4455.7204843630452</v>
      </c>
      <c r="K7">
        <v>1085.0199602174255</v>
      </c>
      <c r="S7">
        <v>6</v>
      </c>
      <c r="T7">
        <v>5.6311847326029811</v>
      </c>
      <c r="V7">
        <v>6</v>
      </c>
      <c r="W7">
        <v>23.156870375479901</v>
      </c>
      <c r="Z7">
        <v>2653.6907845008118</v>
      </c>
      <c r="AG7">
        <v>2</v>
      </c>
      <c r="AH7">
        <v>2719.448916948058</v>
      </c>
      <c r="AL7">
        <f t="shared" ref="AL7:AL67" si="3">((AH7*$AJ$3)+(AH8*$AJ$4)+(AH9*$AJ$5)+(AH10*$AJ$6))/$AJ$3+$AJ$4+$AJ$5+$AJ$6</f>
        <v>5857.6317013721418</v>
      </c>
    </row>
    <row r="8" spans="1:38" x14ac:dyDescent="0.3">
      <c r="B8">
        <v>2902.7996581133743</v>
      </c>
      <c r="K8">
        <v>1118.6955956568281</v>
      </c>
      <c r="S8">
        <v>7</v>
      </c>
      <c r="T8">
        <v>181.09180288412315</v>
      </c>
      <c r="V8">
        <v>7</v>
      </c>
      <c r="W8">
        <v>2209.1721521995746</v>
      </c>
      <c r="Z8">
        <v>2525.8314717638546</v>
      </c>
      <c r="AH8">
        <v>2589.7267473934548</v>
      </c>
    </row>
    <row r="9" spans="1:38" x14ac:dyDescent="0.3">
      <c r="A9">
        <v>4</v>
      </c>
      <c r="B9">
        <v>1554.128538071169</v>
      </c>
      <c r="F9">
        <f t="shared" si="0"/>
        <v>2353.8031398649568</v>
      </c>
      <c r="J9">
        <v>3</v>
      </c>
      <c r="K9">
        <v>3091.8387804803019</v>
      </c>
      <c r="O9">
        <f t="shared" si="1"/>
        <v>5238.2125532967848</v>
      </c>
      <c r="S9">
        <v>8</v>
      </c>
      <c r="T9">
        <v>94.101432505250969</v>
      </c>
      <c r="V9">
        <v>8</v>
      </c>
      <c r="W9">
        <v>1341.5355332352681</v>
      </c>
      <c r="Y9">
        <v>3</v>
      </c>
      <c r="Z9">
        <v>3674.1267844710642</v>
      </c>
      <c r="AD9">
        <f t="shared" si="2"/>
        <v>7367.707580334165</v>
      </c>
      <c r="AH9">
        <v>2653.1819938463368</v>
      </c>
    </row>
    <row r="10" spans="1:38" x14ac:dyDescent="0.3">
      <c r="B10">
        <v>1546.1710499227995</v>
      </c>
      <c r="K10">
        <v>3237.576561761462</v>
      </c>
      <c r="S10">
        <v>9</v>
      </c>
      <c r="T10">
        <v>23.864296055614222</v>
      </c>
      <c r="V10">
        <v>9</v>
      </c>
      <c r="W10">
        <v>135.21757008910734</v>
      </c>
      <c r="Z10">
        <v>3658.8223813831305</v>
      </c>
      <c r="AH10">
        <v>2627.0235467255334</v>
      </c>
    </row>
    <row r="11" spans="1:38" x14ac:dyDescent="0.3">
      <c r="A11">
        <v>6</v>
      </c>
      <c r="B11">
        <v>10.996120634625875</v>
      </c>
      <c r="F11">
        <f t="shared" si="0"/>
        <v>16.706592079902812</v>
      </c>
      <c r="K11">
        <v>3222.4805551307536</v>
      </c>
      <c r="S11">
        <v>10</v>
      </c>
      <c r="T11">
        <v>10.518720057358799</v>
      </c>
      <c r="V11">
        <v>10</v>
      </c>
      <c r="W11">
        <v>39.265627404352827</v>
      </c>
      <c r="Z11">
        <v>3325.4664460882454</v>
      </c>
      <c r="AG11">
        <v>3</v>
      </c>
      <c r="AH11">
        <v>3783.7300674499211</v>
      </c>
      <c r="AL11">
        <f t="shared" si="3"/>
        <v>8112.1528488166468</v>
      </c>
    </row>
    <row r="12" spans="1:38" x14ac:dyDescent="0.3">
      <c r="B12">
        <v>10.686548783177706</v>
      </c>
      <c r="J12">
        <v>4</v>
      </c>
      <c r="K12">
        <v>1587.7247533889788</v>
      </c>
      <c r="O12">
        <f t="shared" si="1"/>
        <v>2675.2979651347819</v>
      </c>
      <c r="S12">
        <v>12</v>
      </c>
      <c r="T12">
        <v>16.113283166383557</v>
      </c>
      <c r="V12">
        <v>12</v>
      </c>
      <c r="W12">
        <v>25.189131646358572</v>
      </c>
      <c r="Y12">
        <v>4</v>
      </c>
      <c r="Z12">
        <v>2310.8725336797606</v>
      </c>
      <c r="AD12">
        <f t="shared" si="2"/>
        <v>4690.4622394127082</v>
      </c>
      <c r="AH12">
        <v>3524.4405605752245</v>
      </c>
    </row>
    <row r="13" spans="1:38" x14ac:dyDescent="0.3">
      <c r="A13">
        <v>7</v>
      </c>
      <c r="B13">
        <v>968.08691976358216</v>
      </c>
      <c r="F13">
        <f t="shared" si="0"/>
        <v>1471.1763055089734</v>
      </c>
      <c r="K13">
        <v>1628.7868579643923</v>
      </c>
      <c r="S13">
        <v>13</v>
      </c>
      <c r="T13">
        <v>20.93455746218164</v>
      </c>
      <c r="V13">
        <v>13</v>
      </c>
      <c r="W13">
        <v>49.815902105421053</v>
      </c>
      <c r="Z13">
        <v>2308.6896382944446</v>
      </c>
      <c r="AH13">
        <v>3829.6566805892062</v>
      </c>
    </row>
    <row r="14" spans="1:38" x14ac:dyDescent="0.3">
      <c r="B14">
        <v>972.59097860451436</v>
      </c>
      <c r="K14">
        <v>1644.3931105673651</v>
      </c>
      <c r="S14">
        <v>14</v>
      </c>
      <c r="T14">
        <v>10.1060276904117</v>
      </c>
      <c r="V14">
        <v>14</v>
      </c>
      <c r="W14">
        <v>34.310533811908648</v>
      </c>
      <c r="Z14">
        <v>2210.2159771834808</v>
      </c>
      <c r="AH14">
        <v>3642.3994358597001</v>
      </c>
    </row>
    <row r="15" spans="1:38" x14ac:dyDescent="0.3">
      <c r="A15">
        <v>8</v>
      </c>
      <c r="B15">
        <v>578.14039668469491</v>
      </c>
      <c r="F15">
        <f t="shared" si="0"/>
        <v>877.08461770121903</v>
      </c>
      <c r="J15">
        <v>6</v>
      </c>
      <c r="K15">
        <v>10.953879124710321</v>
      </c>
      <c r="O15">
        <f t="shared" si="1"/>
        <v>17.529198524283139</v>
      </c>
      <c r="S15">
        <v>15</v>
      </c>
      <c r="T15">
        <v>-1.0200706475604575</v>
      </c>
      <c r="V15">
        <v>15</v>
      </c>
      <c r="W15">
        <v>44.266413331445406</v>
      </c>
      <c r="Y15">
        <v>6</v>
      </c>
      <c r="Z15">
        <v>23.79877913110883</v>
      </c>
      <c r="AD15">
        <f t="shared" si="2"/>
        <v>48.879109939912091</v>
      </c>
      <c r="AG15">
        <v>4</v>
      </c>
      <c r="AH15">
        <v>2336.3099300746726</v>
      </c>
      <c r="AL15">
        <f t="shared" si="3"/>
        <v>5059.5534228889528</v>
      </c>
    </row>
    <row r="16" spans="1:38" x14ac:dyDescent="0.3">
      <c r="B16">
        <v>577.78506176016458</v>
      </c>
      <c r="K16">
        <v>9.2907963494170467</v>
      </c>
      <c r="S16">
        <v>16</v>
      </c>
      <c r="T16">
        <v>2.6412326091510088</v>
      </c>
      <c r="V16">
        <v>16</v>
      </c>
      <c r="W16">
        <v>18.854813619418184</v>
      </c>
      <c r="Z16">
        <v>23.539051560699374</v>
      </c>
      <c r="AH16">
        <v>2237.8959074114427</v>
      </c>
    </row>
    <row r="17" spans="1:38" x14ac:dyDescent="0.3">
      <c r="A17">
        <v>9</v>
      </c>
      <c r="B17">
        <v>82.478073026079073</v>
      </c>
      <c r="F17">
        <f t="shared" si="0"/>
        <v>125.08754858129028</v>
      </c>
      <c r="K17">
        <v>9.5978457271142386</v>
      </c>
      <c r="S17">
        <v>18</v>
      </c>
      <c r="T17">
        <v>32.436918894774301</v>
      </c>
      <c r="V17">
        <v>18</v>
      </c>
      <c r="W17">
        <v>50.184945243794097</v>
      </c>
      <c r="Z17">
        <v>23.795160621834452</v>
      </c>
      <c r="AH17">
        <v>2352.4421421882666</v>
      </c>
    </row>
    <row r="18" spans="1:38" x14ac:dyDescent="0.3">
      <c r="B18">
        <v>82.047264906992112</v>
      </c>
      <c r="J18">
        <v>7</v>
      </c>
      <c r="K18">
        <v>968.79005045015481</v>
      </c>
      <c r="O18">
        <f t="shared" si="1"/>
        <v>1618.3691745346609</v>
      </c>
      <c r="S18">
        <v>19</v>
      </c>
      <c r="T18">
        <v>21.441130666871349</v>
      </c>
      <c r="V18">
        <v>19</v>
      </c>
      <c r="W18">
        <v>110.44764442927209</v>
      </c>
      <c r="Y18">
        <v>7</v>
      </c>
      <c r="Z18">
        <v>2248.7601111055287</v>
      </c>
      <c r="AD18">
        <f t="shared" si="2"/>
        <v>4600.6727667191763</v>
      </c>
      <c r="AH18">
        <v>2251.8625827814567</v>
      </c>
    </row>
    <row r="19" spans="1:38" x14ac:dyDescent="0.3">
      <c r="A19">
        <v>10</v>
      </c>
      <c r="B19">
        <v>25.29322793955502</v>
      </c>
      <c r="F19">
        <f t="shared" si="0"/>
        <v>38.544107614831674</v>
      </c>
      <c r="K19">
        <v>969.30244603749804</v>
      </c>
      <c r="S19">
        <v>20</v>
      </c>
      <c r="T19">
        <v>7.1839721613564107</v>
      </c>
      <c r="V19">
        <v>20</v>
      </c>
      <c r="W19">
        <v>44.848736708575956</v>
      </c>
      <c r="Z19">
        <v>2247.9190158734095</v>
      </c>
      <c r="AG19">
        <v>6</v>
      </c>
      <c r="AH19">
        <v>25.570556297205847</v>
      </c>
      <c r="AL19">
        <f t="shared" si="3"/>
        <v>60.12670689505827</v>
      </c>
    </row>
    <row r="20" spans="1:38" x14ac:dyDescent="0.3">
      <c r="B20">
        <v>25.269298213366664</v>
      </c>
      <c r="K20">
        <v>985.40420553601473</v>
      </c>
      <c r="S20">
        <v>21</v>
      </c>
      <c r="T20">
        <v>70.490191233630227</v>
      </c>
      <c r="V20">
        <v>21</v>
      </c>
      <c r="W20">
        <v>778.27219892491894</v>
      </c>
      <c r="Z20">
        <v>2232.053416506853</v>
      </c>
      <c r="AH20">
        <v>23.530471890110196</v>
      </c>
    </row>
    <row r="21" spans="1:38" x14ac:dyDescent="0.3">
      <c r="A21">
        <v>12</v>
      </c>
      <c r="B21">
        <v>16.470884086187485</v>
      </c>
      <c r="F21">
        <f t="shared" si="0"/>
        <v>25.022509971458089</v>
      </c>
      <c r="J21">
        <v>8</v>
      </c>
      <c r="K21">
        <v>579.74494575582946</v>
      </c>
      <c r="O21">
        <f t="shared" si="1"/>
        <v>964.82895318325291</v>
      </c>
      <c r="S21">
        <v>22</v>
      </c>
      <c r="T21">
        <v>57.348157362786502</v>
      </c>
      <c r="V21">
        <v>22</v>
      </c>
      <c r="W21">
        <v>998.79871259231095</v>
      </c>
      <c r="Y21">
        <v>8</v>
      </c>
      <c r="Z21">
        <v>1351.5735464052195</v>
      </c>
      <c r="AD21">
        <f t="shared" si="2"/>
        <v>2779.563454974324</v>
      </c>
      <c r="AH21">
        <v>47.087972115284572</v>
      </c>
    </row>
    <row r="22" spans="1:38" x14ac:dyDescent="0.3">
      <c r="B22">
        <v>16.181190721270493</v>
      </c>
      <c r="K22">
        <v>568.0456810304081</v>
      </c>
      <c r="S22">
        <v>24</v>
      </c>
      <c r="T22">
        <v>60.420081106287384</v>
      </c>
      <c r="V22">
        <v>24</v>
      </c>
      <c r="W22">
        <v>621.48390675733867</v>
      </c>
      <c r="Z22">
        <v>1364.8824054224854</v>
      </c>
      <c r="AH22">
        <v>21.042512981869837</v>
      </c>
    </row>
    <row r="23" spans="1:38" x14ac:dyDescent="0.3">
      <c r="A23">
        <v>13</v>
      </c>
      <c r="B23">
        <v>38.059910371281674</v>
      </c>
      <c r="F23">
        <f t="shared" si="0"/>
        <v>57.309304544660669</v>
      </c>
      <c r="K23">
        <v>590.54231533873678</v>
      </c>
      <c r="S23">
        <v>25</v>
      </c>
      <c r="T23">
        <v>25.510007305972891</v>
      </c>
      <c r="V23">
        <v>25</v>
      </c>
      <c r="W23">
        <v>96.521390415821301</v>
      </c>
      <c r="Z23">
        <v>1354.9257830885194</v>
      </c>
      <c r="AG23">
        <v>7</v>
      </c>
      <c r="AH23">
        <v>2234.9083895044191</v>
      </c>
      <c r="AL23">
        <f t="shared" si="3"/>
        <v>4910.2738012894288</v>
      </c>
    </row>
    <row r="24" spans="1:38" x14ac:dyDescent="0.3">
      <c r="B24">
        <v>36.870106977428129</v>
      </c>
      <c r="J24">
        <v>9</v>
      </c>
      <c r="K24">
        <v>80.626528885789881</v>
      </c>
      <c r="O24">
        <f t="shared" si="1"/>
        <v>137.52132766737469</v>
      </c>
      <c r="S24">
        <v>26</v>
      </c>
      <c r="T24">
        <v>25.3269125133139</v>
      </c>
      <c r="V24">
        <v>26</v>
      </c>
      <c r="W24">
        <v>91.20094150415666</v>
      </c>
      <c r="Y24">
        <v>9</v>
      </c>
      <c r="Z24">
        <v>142.77517997229538</v>
      </c>
      <c r="AD24">
        <f t="shared" si="2"/>
        <v>288.06005953605739</v>
      </c>
      <c r="AH24">
        <v>2228.3812648639127</v>
      </c>
    </row>
    <row r="25" spans="1:38" x14ac:dyDescent="0.3">
      <c r="A25">
        <v>14</v>
      </c>
      <c r="B25">
        <v>26.877414810645188</v>
      </c>
      <c r="F25">
        <f t="shared" si="0"/>
        <v>40.784186337358399</v>
      </c>
      <c r="K25">
        <v>85.875856703954625</v>
      </c>
      <c r="S25">
        <v>27</v>
      </c>
      <c r="T25">
        <v>21.752825362516788</v>
      </c>
      <c r="V25">
        <v>27</v>
      </c>
      <c r="W25">
        <v>228.2127624181793</v>
      </c>
      <c r="Z25">
        <v>141.09335695964114</v>
      </c>
      <c r="AH25">
        <v>2200.2848298824265</v>
      </c>
    </row>
    <row r="26" spans="1:38" x14ac:dyDescent="0.3">
      <c r="B26">
        <v>26.537758253069626</v>
      </c>
      <c r="K26">
        <v>84.465736351124036</v>
      </c>
      <c r="S26">
        <v>28</v>
      </c>
      <c r="T26">
        <v>7.9717195431381755</v>
      </c>
      <c r="V26">
        <v>28</v>
      </c>
      <c r="W26">
        <v>18.830403886258512</v>
      </c>
      <c r="Z26">
        <v>134.16954683076577</v>
      </c>
      <c r="AH26">
        <v>2209.5801651541165</v>
      </c>
    </row>
    <row r="27" spans="1:38" x14ac:dyDescent="0.3">
      <c r="A27">
        <v>15</v>
      </c>
      <c r="B27">
        <v>31.36295750107357</v>
      </c>
      <c r="F27">
        <f t="shared" si="0"/>
        <v>47.512910467186742</v>
      </c>
      <c r="J27">
        <v>10</v>
      </c>
      <c r="K27">
        <v>24.957820799409365</v>
      </c>
      <c r="O27">
        <f t="shared" si="1"/>
        <v>41.829462623011842</v>
      </c>
      <c r="S27">
        <v>30</v>
      </c>
      <c r="T27">
        <v>8.5158797285284695</v>
      </c>
      <c r="V27">
        <v>30</v>
      </c>
      <c r="W27">
        <v>3.0024886306842942</v>
      </c>
      <c r="Y27">
        <v>10</v>
      </c>
      <c r="Z27">
        <v>39.118404903572177</v>
      </c>
      <c r="AD27">
        <f t="shared" si="2"/>
        <v>81.581176969282836</v>
      </c>
      <c r="AG27">
        <v>8</v>
      </c>
      <c r="AH27">
        <v>1341.9576763303303</v>
      </c>
      <c r="AL27">
        <f t="shared" si="3"/>
        <v>2957.6959536733771</v>
      </c>
    </row>
    <row r="28" spans="1:38" x14ac:dyDescent="0.3">
      <c r="B28">
        <v>30.875952135872357</v>
      </c>
      <c r="K28">
        <v>25.851957617772172</v>
      </c>
      <c r="S28">
        <v>31</v>
      </c>
      <c r="T28">
        <v>2.1625746672099337</v>
      </c>
      <c r="V28">
        <v>31</v>
      </c>
      <c r="W28">
        <v>6.1317928634282337</v>
      </c>
      <c r="Z28">
        <v>39.607625679979179</v>
      </c>
      <c r="AH28">
        <v>1341.9224341351926</v>
      </c>
    </row>
    <row r="29" spans="1:38" x14ac:dyDescent="0.3">
      <c r="A29">
        <v>16</v>
      </c>
      <c r="B29">
        <v>15.506771547206684</v>
      </c>
      <c r="F29">
        <f t="shared" si="0"/>
        <v>24.318249574096544</v>
      </c>
      <c r="K29">
        <v>24.003532650252332</v>
      </c>
      <c r="S29">
        <v>32</v>
      </c>
      <c r="T29">
        <v>2.7124758508556477</v>
      </c>
      <c r="V29">
        <v>32</v>
      </c>
      <c r="W29">
        <v>5.9143100583898089</v>
      </c>
      <c r="Z29">
        <v>41.060778487281624</v>
      </c>
      <c r="AH29">
        <v>1340.9383964802237</v>
      </c>
    </row>
    <row r="30" spans="1:38" x14ac:dyDescent="0.3">
      <c r="B30">
        <v>16.683730975663554</v>
      </c>
      <c r="J30">
        <v>12</v>
      </c>
      <c r="K30">
        <v>16.694279239556202</v>
      </c>
      <c r="O30">
        <f t="shared" si="1"/>
        <v>28.291424501769942</v>
      </c>
      <c r="S30">
        <v>33</v>
      </c>
      <c r="T30">
        <v>1.4160456461831572</v>
      </c>
      <c r="V30">
        <v>33</v>
      </c>
      <c r="W30">
        <v>9.2133245889243636</v>
      </c>
      <c r="Y30">
        <v>12</v>
      </c>
      <c r="Z30">
        <v>28.102503463076069</v>
      </c>
      <c r="AD30">
        <f t="shared" si="2"/>
        <v>51.375543112097866</v>
      </c>
      <c r="AH30">
        <v>1335.034952170714</v>
      </c>
    </row>
    <row r="31" spans="1:38" x14ac:dyDescent="0.3">
      <c r="A31">
        <v>18</v>
      </c>
      <c r="B31">
        <v>26.520812847795117</v>
      </c>
      <c r="F31">
        <f t="shared" si="0"/>
        <v>39.663681693121603</v>
      </c>
      <c r="K31">
        <v>17.061643296045375</v>
      </c>
      <c r="S31">
        <v>34</v>
      </c>
      <c r="T31">
        <v>10.473228589645002</v>
      </c>
      <c r="V31">
        <v>34</v>
      </c>
      <c r="W31">
        <v>12.045878176978471</v>
      </c>
      <c r="Z31">
        <v>19.58231620426017</v>
      </c>
      <c r="AG31">
        <v>9</v>
      </c>
      <c r="AH31">
        <v>135.2126210986022</v>
      </c>
      <c r="AL31">
        <f t="shared" si="3"/>
        <v>305.31662392541915</v>
      </c>
    </row>
    <row r="32" spans="1:38" x14ac:dyDescent="0.3">
      <c r="B32">
        <v>25.060410999191234</v>
      </c>
      <c r="K32">
        <v>16.93848447774889</v>
      </c>
      <c r="S32">
        <v>36</v>
      </c>
      <c r="T32">
        <v>12.663528243426262</v>
      </c>
      <c r="V32">
        <v>36</v>
      </c>
      <c r="W32">
        <v>174.94995492489045</v>
      </c>
      <c r="Z32">
        <v>25.204948262418071</v>
      </c>
      <c r="AH32">
        <v>135.98104141265699</v>
      </c>
    </row>
    <row r="33" spans="1:38" x14ac:dyDescent="0.3">
      <c r="A33">
        <v>19</v>
      </c>
      <c r="B33">
        <v>50.487892216315963</v>
      </c>
      <c r="F33">
        <f t="shared" si="0"/>
        <v>76.950531381149958</v>
      </c>
      <c r="J33">
        <v>13</v>
      </c>
      <c r="K33">
        <v>36.638749718012349</v>
      </c>
      <c r="O33">
        <f t="shared" si="1"/>
        <v>60.152596509928401</v>
      </c>
      <c r="S33">
        <v>37</v>
      </c>
      <c r="T33">
        <v>62.824931116043246</v>
      </c>
      <c r="V33">
        <v>37</v>
      </c>
      <c r="W33">
        <v>651.72557371495225</v>
      </c>
      <c r="Y33">
        <v>13</v>
      </c>
      <c r="Z33">
        <v>48.618089099743763</v>
      </c>
      <c r="AD33">
        <f t="shared" si="2"/>
        <v>102.56810508479599</v>
      </c>
      <c r="AH33">
        <v>156.43254752738679</v>
      </c>
    </row>
    <row r="34" spans="1:38" x14ac:dyDescent="0.3">
      <c r="B34">
        <v>50.820140063230639</v>
      </c>
      <c r="K34">
        <v>32.533893965653064</v>
      </c>
      <c r="S34">
        <v>38</v>
      </c>
      <c r="T34">
        <v>85.487997674056274</v>
      </c>
      <c r="V34">
        <v>38</v>
      </c>
      <c r="W34">
        <v>263.58495714028942</v>
      </c>
      <c r="Z34">
        <v>52.132253627588256</v>
      </c>
      <c r="AH34">
        <v>140.39888398332107</v>
      </c>
    </row>
    <row r="35" spans="1:38" x14ac:dyDescent="0.3">
      <c r="A35">
        <v>20</v>
      </c>
      <c r="B35">
        <v>23.298657817922258</v>
      </c>
      <c r="F35">
        <f t="shared" si="0"/>
        <v>35.921822380010241</v>
      </c>
      <c r="K35">
        <v>37.40319620737116</v>
      </c>
      <c r="S35">
        <v>39</v>
      </c>
      <c r="T35">
        <v>55.623202604789554</v>
      </c>
      <c r="V35">
        <v>39</v>
      </c>
      <c r="W35">
        <v>262.50489760608895</v>
      </c>
      <c r="Z35">
        <v>49.799178801992234</v>
      </c>
      <c r="AG35">
        <v>10</v>
      </c>
      <c r="AH35">
        <v>39.147393154171255</v>
      </c>
      <c r="AL35">
        <f t="shared" si="3"/>
        <v>93.426732848346063</v>
      </c>
    </row>
    <row r="36" spans="1:38" x14ac:dyDescent="0.3">
      <c r="B36">
        <v>24.055330490405119</v>
      </c>
      <c r="J36">
        <v>14</v>
      </c>
      <c r="K36">
        <v>26.695647136030843</v>
      </c>
      <c r="O36">
        <f t="shared" si="1"/>
        <v>44.583769785995329</v>
      </c>
      <c r="S36">
        <v>40</v>
      </c>
      <c r="T36">
        <v>51.232302038346319</v>
      </c>
      <c r="V36">
        <v>40</v>
      </c>
      <c r="W36">
        <v>118.01646630123737</v>
      </c>
      <c r="Y36">
        <v>14</v>
      </c>
      <c r="Z36">
        <v>37.164817300307902</v>
      </c>
      <c r="AD36">
        <f t="shared" si="2"/>
        <v>73.575686763088129</v>
      </c>
      <c r="AH36">
        <v>40.977749910758575</v>
      </c>
    </row>
    <row r="37" spans="1:38" x14ac:dyDescent="0.3">
      <c r="A37">
        <v>21</v>
      </c>
      <c r="B37">
        <v>476.69150667065145</v>
      </c>
      <c r="F37">
        <f t="shared" si="0"/>
        <v>721.14191591579277</v>
      </c>
      <c r="K37">
        <v>27.019674649440681</v>
      </c>
      <c r="S37">
        <v>42</v>
      </c>
      <c r="T37">
        <v>4.174044985997452</v>
      </c>
      <c r="V37">
        <v>42</v>
      </c>
      <c r="W37">
        <v>4.8833820184473264</v>
      </c>
      <c r="Z37">
        <v>34.704495607241547</v>
      </c>
      <c r="AH37">
        <v>58.778445828440624</v>
      </c>
    </row>
    <row r="38" spans="1:38" x14ac:dyDescent="0.3">
      <c r="B38">
        <v>472.39692118226594</v>
      </c>
      <c r="K38">
        <v>25.905176632512617</v>
      </c>
      <c r="S38">
        <v>43</v>
      </c>
      <c r="T38">
        <v>11.399012702090051</v>
      </c>
      <c r="V38">
        <v>43</v>
      </c>
      <c r="W38">
        <v>11.626399616208715</v>
      </c>
      <c r="Z38">
        <v>34.080331991598356</v>
      </c>
      <c r="AH38">
        <v>38.662006377238164</v>
      </c>
    </row>
    <row r="39" spans="1:38" x14ac:dyDescent="0.3">
      <c r="A39">
        <v>22</v>
      </c>
      <c r="B39">
        <v>571.10404559598135</v>
      </c>
      <c r="F39">
        <f t="shared" si="0"/>
        <v>862.74109916022417</v>
      </c>
      <c r="J39">
        <v>15</v>
      </c>
      <c r="K39">
        <v>32.349915916408605</v>
      </c>
      <c r="O39">
        <f t="shared" si="1"/>
        <v>52.584687174863596</v>
      </c>
      <c r="S39">
        <v>44</v>
      </c>
      <c r="T39">
        <v>25.382392290220025</v>
      </c>
      <c r="V39">
        <v>44</v>
      </c>
      <c r="W39">
        <v>16.196337171650264</v>
      </c>
      <c r="Y39">
        <v>15</v>
      </c>
      <c r="Z39">
        <v>54.07647117931198</v>
      </c>
      <c r="AD39">
        <f t="shared" si="2"/>
        <v>98.082270304858852</v>
      </c>
      <c r="AG39">
        <v>12</v>
      </c>
      <c r="AH39">
        <v>24.252120520352943</v>
      </c>
      <c r="AL39">
        <f t="shared" si="3"/>
        <v>60.948280304986142</v>
      </c>
    </row>
    <row r="40" spans="1:38" x14ac:dyDescent="0.3">
      <c r="B40">
        <v>563.65338761855742</v>
      </c>
      <c r="K40">
        <v>28.94965141011502</v>
      </c>
      <c r="S40">
        <v>45</v>
      </c>
      <c r="T40">
        <v>67.880728052957181</v>
      </c>
      <c r="V40">
        <v>45</v>
      </c>
      <c r="W40">
        <v>93.683254259543375</v>
      </c>
      <c r="Z40">
        <v>35.922727103753367</v>
      </c>
      <c r="AH40">
        <v>25.967516121405424</v>
      </c>
    </row>
    <row r="41" spans="1:38" x14ac:dyDescent="0.3">
      <c r="A41">
        <v>24</v>
      </c>
      <c r="B41">
        <v>343.60656740109033</v>
      </c>
      <c r="F41">
        <f t="shared" si="0"/>
        <v>521.60370486297495</v>
      </c>
      <c r="K41">
        <v>31.081174491512463</v>
      </c>
      <c r="S41">
        <v>46</v>
      </c>
      <c r="T41">
        <v>43.752903153672229</v>
      </c>
      <c r="V41">
        <v>46</v>
      </c>
      <c r="W41">
        <v>30.135198883943875</v>
      </c>
      <c r="Z41">
        <v>49.759225306105243</v>
      </c>
      <c r="AH41">
        <v>45.783663064643193</v>
      </c>
    </row>
    <row r="42" spans="1:38" x14ac:dyDescent="0.3">
      <c r="B42">
        <v>343.87981949856623</v>
      </c>
      <c r="J42">
        <v>16</v>
      </c>
      <c r="K42">
        <v>15.534039498779762</v>
      </c>
      <c r="O42">
        <f t="shared" si="1"/>
        <v>26.631365768906996</v>
      </c>
      <c r="Y42">
        <v>16</v>
      </c>
      <c r="Z42">
        <v>19.483391589569862</v>
      </c>
      <c r="AD42">
        <f t="shared" si="2"/>
        <v>35.467551316405036</v>
      </c>
      <c r="AH42">
        <v>23.906761086072276</v>
      </c>
    </row>
    <row r="43" spans="1:38" x14ac:dyDescent="0.3">
      <c r="A43">
        <v>25</v>
      </c>
      <c r="B43">
        <v>56.617854410294029</v>
      </c>
      <c r="F43">
        <f t="shared" si="0"/>
        <v>86.954795084210303</v>
      </c>
      <c r="K43">
        <v>17.110298172364899</v>
      </c>
      <c r="Z43">
        <v>13.611975068462598</v>
      </c>
      <c r="AG43">
        <v>13</v>
      </c>
      <c r="AH43">
        <v>56.182091406216543</v>
      </c>
      <c r="AL43">
        <f t="shared" si="3"/>
        <v>123.20932261926592</v>
      </c>
    </row>
    <row r="44" spans="1:38" x14ac:dyDescent="0.3">
      <c r="B44">
        <v>58.312833615175357</v>
      </c>
      <c r="K44">
        <v>15.364275883162565</v>
      </c>
      <c r="Z44">
        <v>16.888913475655592</v>
      </c>
      <c r="AH44">
        <v>50.115724107238059</v>
      </c>
    </row>
    <row r="45" spans="1:38" x14ac:dyDescent="0.3">
      <c r="A45">
        <v>26</v>
      </c>
      <c r="B45">
        <v>52.123351386884359</v>
      </c>
      <c r="F45">
        <f t="shared" si="0"/>
        <v>79.190225049700473</v>
      </c>
      <c r="J45">
        <v>18</v>
      </c>
      <c r="K45">
        <v>25.854599987695082</v>
      </c>
      <c r="O45">
        <f t="shared" si="1"/>
        <v>43.71114980918103</v>
      </c>
      <c r="Y45">
        <v>18</v>
      </c>
      <c r="Z45">
        <v>49.994347829207548</v>
      </c>
      <c r="AD45">
        <f t="shared" si="2"/>
        <v>99.853111678705417</v>
      </c>
      <c r="AH45">
        <v>75.625771065891755</v>
      </c>
    </row>
    <row r="46" spans="1:38" x14ac:dyDescent="0.3">
      <c r="B46">
        <v>51.988697522241004</v>
      </c>
      <c r="K46">
        <v>26.533125886245472</v>
      </c>
      <c r="Z46">
        <v>47.641912739619087</v>
      </c>
      <c r="AH46">
        <v>47.796071457771234</v>
      </c>
    </row>
    <row r="47" spans="1:38" x14ac:dyDescent="0.3">
      <c r="A47">
        <v>27</v>
      </c>
      <c r="B47">
        <v>121.98166772412837</v>
      </c>
      <c r="F47">
        <f t="shared" si="0"/>
        <v>185.08502423162449</v>
      </c>
      <c r="K47">
        <v>26.308174032726715</v>
      </c>
      <c r="Z47">
        <v>46.728467260963939</v>
      </c>
      <c r="AG47">
        <v>14</v>
      </c>
      <c r="AH47">
        <v>42.51649081226175</v>
      </c>
      <c r="AL47">
        <f t="shared" si="3"/>
        <v>93.642428963891334</v>
      </c>
    </row>
    <row r="48" spans="1:38" x14ac:dyDescent="0.3">
      <c r="B48">
        <v>121.68134328358209</v>
      </c>
      <c r="J48">
        <v>19</v>
      </c>
      <c r="K48">
        <v>49.786444597116549</v>
      </c>
      <c r="O48">
        <f t="shared" si="1"/>
        <v>66.197625783643119</v>
      </c>
      <c r="Y48">
        <v>19</v>
      </c>
      <c r="Z48">
        <v>110.66636402133111</v>
      </c>
      <c r="AD48">
        <f t="shared" si="2"/>
        <v>226.43220641841202</v>
      </c>
      <c r="AH48">
        <v>36.664897291233011</v>
      </c>
    </row>
    <row r="49" spans="1:38" x14ac:dyDescent="0.3">
      <c r="A49">
        <v>28</v>
      </c>
      <c r="B49">
        <v>10.056356388373221</v>
      </c>
      <c r="F49">
        <f t="shared" si="0"/>
        <v>15.874838663600331</v>
      </c>
      <c r="K49">
        <v>0</v>
      </c>
      <c r="Z49">
        <v>111.36246762741477</v>
      </c>
      <c r="AH49">
        <v>60.106908750390183</v>
      </c>
    </row>
    <row r="50" spans="1:38" x14ac:dyDescent="0.3">
      <c r="B50">
        <v>10.895435997353134</v>
      </c>
      <c r="K50">
        <v>49.127901819850138</v>
      </c>
      <c r="Z50">
        <v>108.27397385372983</v>
      </c>
      <c r="AH50">
        <v>40.422389829122721</v>
      </c>
    </row>
    <row r="51" spans="1:38" x14ac:dyDescent="0.3">
      <c r="A51">
        <v>30</v>
      </c>
      <c r="B51">
        <v>3.4687195805367281</v>
      </c>
      <c r="F51">
        <f t="shared" si="0"/>
        <v>5.5647416583506502</v>
      </c>
      <c r="J51">
        <v>20</v>
      </c>
      <c r="K51">
        <v>23.655717684214842</v>
      </c>
      <c r="O51">
        <f t="shared" si="1"/>
        <v>39.113983790420129</v>
      </c>
      <c r="Y51">
        <v>20</v>
      </c>
      <c r="Z51">
        <v>43.748699103547771</v>
      </c>
      <c r="AD51">
        <f t="shared" si="2"/>
        <v>90.058016653326234</v>
      </c>
      <c r="AG51">
        <v>15</v>
      </c>
      <c r="AH51">
        <v>57.063743057439432</v>
      </c>
      <c r="AL51">
        <f t="shared" si="3"/>
        <v>127.98352184039464</v>
      </c>
    </row>
    <row r="52" spans="1:38" x14ac:dyDescent="0.3">
      <c r="B52">
        <v>3.6963954856260566</v>
      </c>
      <c r="K52">
        <v>23.921980857097839</v>
      </c>
      <c r="Z52">
        <v>43.967082192290057</v>
      </c>
      <c r="AH52">
        <v>53.686540075194586</v>
      </c>
    </row>
    <row r="53" spans="1:38" x14ac:dyDescent="0.3">
      <c r="A53">
        <v>31</v>
      </c>
      <c r="B53">
        <v>4.4568696248882906</v>
      </c>
      <c r="F53">
        <f t="shared" si="0"/>
        <v>7.204087431097455</v>
      </c>
      <c r="K53">
        <v>21.673703930264569</v>
      </c>
      <c r="Z53">
        <v>43.754785638518335</v>
      </c>
      <c r="AH53">
        <v>76.676464467797331</v>
      </c>
    </row>
    <row r="54" spans="1:38" x14ac:dyDescent="0.3">
      <c r="B54">
        <v>4.955773472538783</v>
      </c>
      <c r="J54">
        <v>21</v>
      </c>
      <c r="K54">
        <v>486.9637656118619</v>
      </c>
      <c r="O54">
        <f t="shared" si="1"/>
        <v>817.4559128506022</v>
      </c>
      <c r="Y54">
        <v>21</v>
      </c>
      <c r="Z54">
        <v>1023.9656527449812</v>
      </c>
      <c r="AD54">
        <f t="shared" si="2"/>
        <v>2070.3802498938585</v>
      </c>
      <c r="AH54">
        <v>52.678644428092547</v>
      </c>
    </row>
    <row r="55" spans="1:38" x14ac:dyDescent="0.3">
      <c r="A55">
        <v>32</v>
      </c>
      <c r="B55">
        <v>4.5375126217198032</v>
      </c>
      <c r="F55">
        <f t="shared" si="0"/>
        <v>7.1657619775490673</v>
      </c>
      <c r="K55">
        <v>494.20379706948165</v>
      </c>
      <c r="Z55">
        <v>1011.2730945093617</v>
      </c>
      <c r="AG55">
        <v>16</v>
      </c>
      <c r="AH55">
        <v>0</v>
      </c>
      <c r="AL55">
        <f t="shared" si="3"/>
        <v>29.761078955685186</v>
      </c>
    </row>
    <row r="56" spans="1:38" x14ac:dyDescent="0.3">
      <c r="B56">
        <v>4.7256948018528044</v>
      </c>
      <c r="K56">
        <v>499.83011928429426</v>
      </c>
      <c r="Z56">
        <v>977.14264890799643</v>
      </c>
      <c r="AH56">
        <v>20.204490350336336</v>
      </c>
    </row>
    <row r="57" spans="1:38" x14ac:dyDescent="0.3">
      <c r="A57">
        <v>33</v>
      </c>
      <c r="B57">
        <v>7.9119740224695629</v>
      </c>
      <c r="F57">
        <f t="shared" si="0"/>
        <v>12.415541846129356</v>
      </c>
      <c r="J57">
        <v>22</v>
      </c>
      <c r="K57">
        <v>583.75511935768338</v>
      </c>
      <c r="O57">
        <f t="shared" si="1"/>
        <v>982.425248619895</v>
      </c>
      <c r="Y57">
        <v>22</v>
      </c>
      <c r="Z57">
        <v>1148.83197441989</v>
      </c>
      <c r="AD57">
        <f t="shared" si="2"/>
        <v>2327.9012916051101</v>
      </c>
      <c r="AH57">
        <v>41.134042837819763</v>
      </c>
    </row>
    <row r="58" spans="1:38" x14ac:dyDescent="0.3">
      <c r="B58">
        <v>8.3524612160870522</v>
      </c>
      <c r="K58">
        <v>592.30824602174255</v>
      </c>
      <c r="Z58">
        <v>1159.3435954944796</v>
      </c>
      <c r="AH58">
        <v>16.157685458568391</v>
      </c>
    </row>
    <row r="59" spans="1:38" x14ac:dyDescent="0.3">
      <c r="A59">
        <v>34</v>
      </c>
      <c r="B59">
        <v>8.6270085943756456</v>
      </c>
      <c r="F59">
        <f t="shared" si="0"/>
        <v>13.481220271786725</v>
      </c>
      <c r="K59">
        <v>607.07780241627154</v>
      </c>
      <c r="Z59">
        <v>1073.2365141584651</v>
      </c>
      <c r="AG59">
        <v>18</v>
      </c>
      <c r="AH59">
        <v>0</v>
      </c>
      <c r="AL59">
        <f t="shared" si="3"/>
        <v>65.402173103336409</v>
      </c>
    </row>
    <row r="60" spans="1:38" x14ac:dyDescent="0.3">
      <c r="B60">
        <v>9.0305878244246749</v>
      </c>
      <c r="J60">
        <v>24</v>
      </c>
      <c r="K60">
        <v>344.16307961280529</v>
      </c>
      <c r="O60">
        <f t="shared" si="1"/>
        <v>573.72647923395527</v>
      </c>
      <c r="Y60">
        <v>24</v>
      </c>
      <c r="Z60">
        <v>660.38842076553726</v>
      </c>
      <c r="AD60">
        <f t="shared" si="2"/>
        <v>1349.2542151542041</v>
      </c>
      <c r="AH60">
        <v>49.012085838660781</v>
      </c>
    </row>
    <row r="61" spans="1:38" x14ac:dyDescent="0.3">
      <c r="A61">
        <v>36</v>
      </c>
      <c r="B61">
        <v>174.3143178178062</v>
      </c>
      <c r="F61">
        <f t="shared" si="0"/>
        <v>264.80702927658012</v>
      </c>
      <c r="K61">
        <v>342.38436466046954</v>
      </c>
      <c r="Z61">
        <v>658.50949802356843</v>
      </c>
      <c r="AH61">
        <v>73.669307489929693</v>
      </c>
    </row>
    <row r="62" spans="1:38" x14ac:dyDescent="0.3">
      <c r="B62">
        <v>174.65090250716858</v>
      </c>
      <c r="K62">
        <v>347.82453739103835</v>
      </c>
      <c r="Z62">
        <v>653.17687368724228</v>
      </c>
      <c r="AH62">
        <v>45.869614095331528</v>
      </c>
    </row>
    <row r="63" spans="1:38" x14ac:dyDescent="0.3">
      <c r="A63">
        <v>37</v>
      </c>
      <c r="B63">
        <v>584.32661057497012</v>
      </c>
      <c r="F63">
        <f t="shared" si="0"/>
        <v>885.06005447023404</v>
      </c>
      <c r="J63">
        <v>25</v>
      </c>
      <c r="K63">
        <v>56.00816687516663</v>
      </c>
      <c r="O63">
        <f t="shared" si="1"/>
        <v>94.186109517914304</v>
      </c>
      <c r="Y63">
        <v>25</v>
      </c>
      <c r="Z63">
        <v>97.953465588148745</v>
      </c>
      <c r="AD63">
        <f t="shared" si="2"/>
        <v>199.12152628416624</v>
      </c>
      <c r="AG63">
        <v>19</v>
      </c>
      <c r="AH63">
        <v>0</v>
      </c>
      <c r="AL63">
        <f t="shared" si="3"/>
        <v>140.34662549290161</v>
      </c>
    </row>
    <row r="64" spans="1:38" x14ac:dyDescent="0.3">
      <c r="B64">
        <v>581.24532387324462</v>
      </c>
      <c r="K64">
        <v>57.656028438632418</v>
      </c>
      <c r="Z64">
        <v>95.334165623722129</v>
      </c>
      <c r="AH64">
        <v>111.41473155715856</v>
      </c>
    </row>
    <row r="65" spans="1:38" x14ac:dyDescent="0.3">
      <c r="A65">
        <v>38</v>
      </c>
      <c r="B65">
        <v>210.62158705794965</v>
      </c>
      <c r="F65">
        <f t="shared" si="0"/>
        <v>319.23820270749309</v>
      </c>
      <c r="K65">
        <v>56.344074017433861</v>
      </c>
      <c r="Z65">
        <v>97.32671598069588</v>
      </c>
      <c r="AH65">
        <v>137.61668177831947</v>
      </c>
    </row>
    <row r="66" spans="1:38" x14ac:dyDescent="0.3">
      <c r="B66">
        <v>209.70157157561943</v>
      </c>
      <c r="J66">
        <v>26</v>
      </c>
      <c r="K66">
        <v>53.34569533028445</v>
      </c>
      <c r="O66">
        <f t="shared" si="1"/>
        <v>86.442226145350403</v>
      </c>
      <c r="Y66">
        <v>26</v>
      </c>
      <c r="Z66">
        <v>90.955539845112568</v>
      </c>
      <c r="AD66">
        <f t="shared" si="2"/>
        <v>188.92098314044162</v>
      </c>
      <c r="AH66">
        <v>103.9954827896329</v>
      </c>
    </row>
    <row r="67" spans="1:38" x14ac:dyDescent="0.3">
      <c r="A67">
        <v>39</v>
      </c>
      <c r="B67">
        <v>127.5664685878762</v>
      </c>
      <c r="F67">
        <f t="shared" si="0"/>
        <v>192.42147898978163</v>
      </c>
      <c r="K67">
        <v>50.114522609106672</v>
      </c>
      <c r="Z67">
        <v>92.364097099168532</v>
      </c>
      <c r="AG67">
        <v>20</v>
      </c>
      <c r="AH67">
        <v>50.694969945316188</v>
      </c>
      <c r="AL67">
        <f t="shared" si="3"/>
        <v>110.87602203937747</v>
      </c>
    </row>
    <row r="68" spans="1:38" x14ac:dyDescent="0.3">
      <c r="B68">
        <v>125.06894897434012</v>
      </c>
      <c r="K68">
        <v>48.586374063312441</v>
      </c>
      <c r="Z68">
        <v>94.158974521084914</v>
      </c>
      <c r="AH68">
        <v>44.051363655328757</v>
      </c>
    </row>
    <row r="69" spans="1:38" x14ac:dyDescent="0.3">
      <c r="A69">
        <v>40</v>
      </c>
      <c r="B69">
        <v>71.399517328025439</v>
      </c>
      <c r="F69">
        <f t="shared" ref="F69" si="4">((B69*$D$3)+(B70*$D$4))/$D$3+$D$4</f>
        <v>109.0279717107519</v>
      </c>
      <c r="J69">
        <v>27</v>
      </c>
      <c r="K69">
        <v>120.66999958983612</v>
      </c>
      <c r="O69">
        <f t="shared" ref="O69:O117" si="5">((K69*$M$3)+(K70*$M$4)+(K71*$M$5))/$M$3+$M$4+$M$5</f>
        <v>197.99452979994024</v>
      </c>
      <c r="Y69">
        <v>27</v>
      </c>
      <c r="Z69">
        <v>261.45416896940293</v>
      </c>
      <c r="AD69">
        <f t="shared" ref="AD69:AD117" si="6">((Z69*$AB$3)+(Z70*$AB$4)+(Z71*$AB$5))/$AB$3+$AB$4+$AB$5</f>
        <v>543.15740530774599</v>
      </c>
      <c r="AH69">
        <v>71.302228101728687</v>
      </c>
    </row>
    <row r="70" spans="1:38" x14ac:dyDescent="0.3">
      <c r="B70">
        <v>72.414234247481801</v>
      </c>
      <c r="K70">
        <v>114.38761422719395</v>
      </c>
      <c r="Z70">
        <v>265.48385397950454</v>
      </c>
      <c r="AH70">
        <v>42.21598806311831</v>
      </c>
    </row>
    <row r="71" spans="1:38" x14ac:dyDescent="0.3">
      <c r="A71">
        <v>42</v>
      </c>
      <c r="B71">
        <v>3.9335861787815833</v>
      </c>
      <c r="F71">
        <f>((B71*$D$3)+(B72*$D$4))/$D$3+$D$4</f>
        <v>6.4506939559664662</v>
      </c>
      <c r="K71">
        <v>117.51152316868023</v>
      </c>
      <c r="Z71">
        <v>272.07759934809945</v>
      </c>
      <c r="AG71">
        <v>21</v>
      </c>
      <c r="AH71">
        <v>1041.8222347549224</v>
      </c>
      <c r="AL71">
        <f t="shared" ref="AL71:AL131" si="7">((AH71*$AJ$3)+(AH72*$AJ$4)+(AH73*$AJ$5)+(AH74*$AJ$6))/$AJ$3+$AJ$4+$AJ$5+$AJ$6</f>
        <v>2246.9974127404666</v>
      </c>
    </row>
    <row r="72" spans="1:38" x14ac:dyDescent="0.3">
      <c r="B72">
        <v>4.5107528858172188</v>
      </c>
      <c r="J72">
        <v>28</v>
      </c>
      <c r="K72">
        <v>11.032410635548901</v>
      </c>
      <c r="O72">
        <f t="shared" si="5"/>
        <v>18.881841413586056</v>
      </c>
      <c r="Y72">
        <v>28</v>
      </c>
      <c r="Z72">
        <v>24.078696160830276</v>
      </c>
      <c r="AD72">
        <f t="shared" si="6"/>
        <v>47.542474427649758</v>
      </c>
      <c r="AH72">
        <v>991.51916720366069</v>
      </c>
    </row>
    <row r="73" spans="1:38" x14ac:dyDescent="0.3">
      <c r="A73">
        <v>43</v>
      </c>
      <c r="B73">
        <v>9.2864891017977964</v>
      </c>
      <c r="F73">
        <f t="shared" ref="F73:F79" si="8">((B73*$D$3)+(B74*$D$4))/$D$3+$D$4</f>
        <v>14.674493431571321</v>
      </c>
      <c r="K73">
        <v>12.121547027936426</v>
      </c>
      <c r="Z73">
        <v>22.934969826891862</v>
      </c>
      <c r="AH73">
        <v>1032.1553056765313</v>
      </c>
    </row>
    <row r="74" spans="1:38" x14ac:dyDescent="0.3">
      <c r="B74">
        <v>10.0629144915815</v>
      </c>
      <c r="K74">
        <v>10.578613724621501</v>
      </c>
      <c r="Z74">
        <v>20.941339487049802</v>
      </c>
      <c r="AH74">
        <v>999.63208241353937</v>
      </c>
    </row>
    <row r="75" spans="1:38" x14ac:dyDescent="0.3">
      <c r="A75">
        <v>44</v>
      </c>
      <c r="B75">
        <v>11.263730749458862</v>
      </c>
      <c r="F75">
        <f t="shared" si="8"/>
        <v>17.639486292254979</v>
      </c>
      <c r="J75">
        <v>30</v>
      </c>
      <c r="K75">
        <v>4.2305684871106006</v>
      </c>
      <c r="O75">
        <f t="shared" si="5"/>
        <v>6.2684958597981737</v>
      </c>
      <c r="Y75">
        <v>30</v>
      </c>
      <c r="Z75">
        <v>3.3028046389967485</v>
      </c>
      <c r="AD75">
        <f t="shared" si="6"/>
        <v>7.1392162607485217</v>
      </c>
      <c r="AG75">
        <v>22</v>
      </c>
      <c r="AH75">
        <v>0</v>
      </c>
      <c r="AL75">
        <f t="shared" si="7"/>
        <v>1345.0050864695293</v>
      </c>
    </row>
    <row r="76" spans="1:38" x14ac:dyDescent="0.3">
      <c r="B76">
        <v>11.973172928461143</v>
      </c>
      <c r="K76">
        <v>2.687477475135891</v>
      </c>
      <c r="Z76">
        <v>4.0101935292003814</v>
      </c>
      <c r="AH76">
        <v>1103.5215013884574</v>
      </c>
    </row>
    <row r="77" spans="1:38" x14ac:dyDescent="0.3">
      <c r="A77">
        <v>45</v>
      </c>
      <c r="B77">
        <v>59.249897997401668</v>
      </c>
      <c r="F77">
        <f t="shared" si="8"/>
        <v>89.776248967317514</v>
      </c>
      <c r="K77">
        <v>2.5364800818856095</v>
      </c>
      <c r="Z77">
        <v>2.5407543992750417</v>
      </c>
      <c r="AH77">
        <v>1157.0428972754435</v>
      </c>
    </row>
    <row r="78" spans="1:38" x14ac:dyDescent="0.3">
      <c r="B78">
        <v>58.679143077714869</v>
      </c>
      <c r="J78">
        <v>31</v>
      </c>
      <c r="K78">
        <v>4.4332304505650013</v>
      </c>
      <c r="O78">
        <f t="shared" si="5"/>
        <v>8.2411646180527214</v>
      </c>
      <c r="Y78">
        <v>31</v>
      </c>
      <c r="Z78">
        <v>7.0212521621796204</v>
      </c>
      <c r="AD78">
        <f t="shared" si="6"/>
        <v>12.836841440391328</v>
      </c>
      <c r="AH78">
        <v>1128.1068596190009</v>
      </c>
    </row>
    <row r="79" spans="1:38" x14ac:dyDescent="0.3">
      <c r="A79">
        <v>46</v>
      </c>
      <c r="B79">
        <v>23.137964016250102</v>
      </c>
      <c r="F79">
        <f t="shared" si="8"/>
        <v>35.562326036255875</v>
      </c>
      <c r="K79">
        <v>5.7944037248798645</v>
      </c>
      <c r="Z79">
        <v>5.0522932871030104</v>
      </c>
      <c r="AG79">
        <v>24</v>
      </c>
      <c r="AH79">
        <v>0</v>
      </c>
      <c r="AL79">
        <f t="shared" si="7"/>
        <v>787.07675846897371</v>
      </c>
    </row>
    <row r="80" spans="1:38" x14ac:dyDescent="0.3">
      <c r="B80">
        <v>23.670856922285125</v>
      </c>
      <c r="K80">
        <v>4.7461583635724125</v>
      </c>
      <c r="Z80">
        <v>5.6106397020083874</v>
      </c>
      <c r="AH80">
        <v>650.83771041273587</v>
      </c>
    </row>
    <row r="81" spans="10:38" x14ac:dyDescent="0.3">
      <c r="J81">
        <v>32</v>
      </c>
      <c r="K81">
        <v>5.1425473226554006</v>
      </c>
      <c r="O81">
        <f t="shared" si="5"/>
        <v>6.5718302259397676</v>
      </c>
      <c r="Y81">
        <v>32</v>
      </c>
      <c r="Z81">
        <v>5.9832265102959221</v>
      </c>
      <c r="AD81">
        <f t="shared" si="6"/>
        <v>11.676690904056809</v>
      </c>
      <c r="AH81">
        <v>654.09891196099716</v>
      </c>
    </row>
    <row r="82" spans="10:38" x14ac:dyDescent="0.3">
      <c r="K82">
        <v>0</v>
      </c>
      <c r="Z82">
        <v>4.0793636564292886</v>
      </c>
      <c r="AH82">
        <v>663.23276919303407</v>
      </c>
    </row>
    <row r="83" spans="10:38" x14ac:dyDescent="0.3">
      <c r="K83">
        <v>3.438139538606821</v>
      </c>
      <c r="Z83">
        <v>6.6950643822048024</v>
      </c>
      <c r="AG83">
        <v>25</v>
      </c>
      <c r="AH83">
        <v>103.24604863004897</v>
      </c>
      <c r="AL83">
        <f t="shared" si="7"/>
        <v>230.1662499549048</v>
      </c>
    </row>
    <row r="84" spans="10:38" x14ac:dyDescent="0.3">
      <c r="J84">
        <v>33</v>
      </c>
      <c r="K84">
        <v>8.033013576423782</v>
      </c>
      <c r="O84">
        <f t="shared" si="5"/>
        <v>14.11258650831495</v>
      </c>
      <c r="Y84">
        <v>33</v>
      </c>
      <c r="Z84">
        <v>10.881774530421238</v>
      </c>
      <c r="AD84">
        <f t="shared" si="6"/>
        <v>20.661210637141846</v>
      </c>
      <c r="AH84">
        <v>99.628778852795691</v>
      </c>
    </row>
    <row r="85" spans="10:38" x14ac:dyDescent="0.3">
      <c r="K85">
        <v>9.2688427340180404</v>
      </c>
      <c r="Z85">
        <v>7.5677066819184393</v>
      </c>
      <c r="AH85">
        <v>123.69197496915737</v>
      </c>
    </row>
    <row r="86" spans="10:38" x14ac:dyDescent="0.3">
      <c r="K86">
        <v>8.1085135987918644</v>
      </c>
      <c r="Z86">
        <v>11.158440637008002</v>
      </c>
      <c r="AH86">
        <v>102.16866977352628</v>
      </c>
    </row>
    <row r="87" spans="10:38" x14ac:dyDescent="0.3">
      <c r="J87">
        <v>34</v>
      </c>
      <c r="K87">
        <v>8.2306089907918203</v>
      </c>
      <c r="O87">
        <f t="shared" si="5"/>
        <v>14.004684972299293</v>
      </c>
      <c r="Y87">
        <v>34</v>
      </c>
      <c r="Z87">
        <v>13.056963115548315</v>
      </c>
      <c r="AD87">
        <f t="shared" si="6"/>
        <v>24.75573858077534</v>
      </c>
      <c r="AG87">
        <v>26</v>
      </c>
      <c r="AH87">
        <v>98.257756392866838</v>
      </c>
      <c r="AL87">
        <f t="shared" si="7"/>
        <v>218.96828591462915</v>
      </c>
    </row>
    <row r="88" spans="10:38" x14ac:dyDescent="0.3">
      <c r="K88">
        <v>7.3411398589884991</v>
      </c>
      <c r="Z88">
        <v>10.188845243553365</v>
      </c>
      <c r="AH88">
        <v>94.509855962022556</v>
      </c>
    </row>
    <row r="89" spans="10:38" x14ac:dyDescent="0.3">
      <c r="K89">
        <v>9.1550099433399588</v>
      </c>
      <c r="Z89">
        <v>11.877603562973734</v>
      </c>
      <c r="AH89">
        <v>118.01581521173657</v>
      </c>
    </row>
    <row r="90" spans="10:38" x14ac:dyDescent="0.3">
      <c r="J90">
        <v>36</v>
      </c>
      <c r="K90">
        <v>176.50590379606652</v>
      </c>
      <c r="O90">
        <f t="shared" si="5"/>
        <v>289.59493644058608</v>
      </c>
      <c r="Y90">
        <v>36</v>
      </c>
      <c r="Z90">
        <v>182.15600709123143</v>
      </c>
      <c r="AD90">
        <f t="shared" si="6"/>
        <v>373.55281412555621</v>
      </c>
      <c r="AH90">
        <v>97.684674188537315</v>
      </c>
    </row>
    <row r="91" spans="10:38" x14ac:dyDescent="0.3">
      <c r="K91">
        <v>164.71297463368521</v>
      </c>
      <c r="Z91">
        <v>183.04683337257285</v>
      </c>
      <c r="AG91">
        <v>27</v>
      </c>
      <c r="AH91">
        <v>259.69516693467216</v>
      </c>
      <c r="AL91">
        <f t="shared" si="7"/>
        <v>573.93835369923522</v>
      </c>
    </row>
    <row r="92" spans="10:38" x14ac:dyDescent="0.3">
      <c r="K92">
        <v>174.9386526991895</v>
      </c>
      <c r="Z92">
        <v>180.91513701853842</v>
      </c>
      <c r="AH92">
        <v>257.24188366626953</v>
      </c>
    </row>
    <row r="93" spans="10:38" x14ac:dyDescent="0.3">
      <c r="J93">
        <v>37</v>
      </c>
      <c r="K93">
        <v>577.21167121264943</v>
      </c>
      <c r="O93">
        <f t="shared" si="5"/>
        <v>962.54039107751089</v>
      </c>
      <c r="Y93">
        <v>37</v>
      </c>
      <c r="Z93">
        <v>671.15356320024114</v>
      </c>
      <c r="AD93">
        <f t="shared" si="6"/>
        <v>1368.8438372100456</v>
      </c>
      <c r="AH93">
        <v>268.88089540258932</v>
      </c>
    </row>
    <row r="94" spans="10:38" x14ac:dyDescent="0.3">
      <c r="K94">
        <v>575.92777099417049</v>
      </c>
      <c r="Z94">
        <v>669.54405769445225</v>
      </c>
      <c r="AH94">
        <v>262.79535606246418</v>
      </c>
    </row>
    <row r="95" spans="10:38" x14ac:dyDescent="0.3">
      <c r="K95">
        <v>583.20020645358613</v>
      </c>
      <c r="Z95">
        <v>657.9085091287152</v>
      </c>
      <c r="AG95">
        <v>28</v>
      </c>
      <c r="AH95">
        <v>26.01107664212082</v>
      </c>
      <c r="AL95">
        <f t="shared" si="7"/>
        <v>58.810637491050201</v>
      </c>
    </row>
    <row r="96" spans="10:38" x14ac:dyDescent="0.3">
      <c r="J96">
        <v>38</v>
      </c>
      <c r="K96">
        <v>207.37638737925801</v>
      </c>
      <c r="O96">
        <f t="shared" si="5"/>
        <v>407.05120712443181</v>
      </c>
      <c r="Y96">
        <v>38</v>
      </c>
      <c r="Z96">
        <v>276.63383622700553</v>
      </c>
      <c r="AD96">
        <f t="shared" si="6"/>
        <v>568.2056447832033</v>
      </c>
      <c r="AH96">
        <v>21.801564158789468</v>
      </c>
    </row>
    <row r="97" spans="10:38" x14ac:dyDescent="0.3">
      <c r="K97">
        <v>381.89212423192066</v>
      </c>
      <c r="Z97">
        <v>279.02535284568961</v>
      </c>
      <c r="AH97">
        <v>46.351279040385272</v>
      </c>
    </row>
    <row r="98" spans="10:38" x14ac:dyDescent="0.3">
      <c r="K98">
        <v>216.13254320232451</v>
      </c>
      <c r="Z98">
        <v>275.68482926246725</v>
      </c>
      <c r="AH98">
        <v>20.112878329143161</v>
      </c>
    </row>
    <row r="99" spans="10:38" x14ac:dyDescent="0.3">
      <c r="J99">
        <v>39</v>
      </c>
      <c r="K99">
        <v>125.95187701236644</v>
      </c>
      <c r="O99">
        <f t="shared" si="5"/>
        <v>206.62081607991314</v>
      </c>
      <c r="Y99">
        <v>39</v>
      </c>
      <c r="Z99">
        <v>240.57119223122584</v>
      </c>
      <c r="AD99">
        <f t="shared" si="6"/>
        <v>490.83628723926597</v>
      </c>
      <c r="AG99">
        <v>30</v>
      </c>
      <c r="AH99">
        <v>6.9892356008795096</v>
      </c>
      <c r="AL99">
        <f t="shared" si="7"/>
        <v>17.124443892368522</v>
      </c>
    </row>
    <row r="100" spans="10:38" x14ac:dyDescent="0.3">
      <c r="K100">
        <v>124.16724436741769</v>
      </c>
      <c r="Z100">
        <v>237.14235263503548</v>
      </c>
      <c r="AH100">
        <v>4.2073854812314853</v>
      </c>
    </row>
    <row r="101" spans="10:38" x14ac:dyDescent="0.3">
      <c r="K101">
        <v>117.6752408625172</v>
      </c>
      <c r="Z101">
        <v>239.84083580957196</v>
      </c>
      <c r="AH101">
        <v>23.610409203739767</v>
      </c>
    </row>
    <row r="102" spans="10:38" x14ac:dyDescent="0.3">
      <c r="J102">
        <v>40</v>
      </c>
      <c r="K102">
        <v>70.551696027563011</v>
      </c>
      <c r="O102">
        <f t="shared" si="5"/>
        <v>114.68634231153803</v>
      </c>
      <c r="Y102">
        <v>40</v>
      </c>
      <c r="Z102">
        <v>134.72173376301794</v>
      </c>
      <c r="AD102">
        <f t="shared" si="6"/>
        <v>279.72382203525467</v>
      </c>
      <c r="AH102">
        <v>0</v>
      </c>
    </row>
    <row r="103" spans="10:38" x14ac:dyDescent="0.3">
      <c r="K103">
        <v>64.337964786513311</v>
      </c>
      <c r="Z103">
        <v>135.10287976604999</v>
      </c>
      <c r="AG103">
        <v>31</v>
      </c>
      <c r="AH103">
        <v>4.3477889595439692</v>
      </c>
      <c r="AL103">
        <f t="shared" si="7"/>
        <v>17.762493952705359</v>
      </c>
    </row>
    <row r="104" spans="10:38" x14ac:dyDescent="0.3">
      <c r="K104">
        <v>67.653188560942027</v>
      </c>
      <c r="Z104">
        <v>141.92052503284089</v>
      </c>
      <c r="AH104">
        <v>6.3317949811549914</v>
      </c>
    </row>
    <row r="105" spans="10:38" x14ac:dyDescent="0.3">
      <c r="J105">
        <v>42</v>
      </c>
      <c r="K105">
        <v>4.5168285104899404</v>
      </c>
      <c r="O105">
        <f t="shared" si="5"/>
        <v>6.9266692328980053</v>
      </c>
      <c r="Y105">
        <v>42</v>
      </c>
      <c r="Z105">
        <v>5.7394953463793801</v>
      </c>
      <c r="AD105">
        <f t="shared" si="6"/>
        <v>11.16046718679665</v>
      </c>
      <c r="AH105">
        <v>30.095723649984393</v>
      </c>
    </row>
    <row r="106" spans="10:38" x14ac:dyDescent="0.3">
      <c r="K106">
        <v>3.0949464947514573</v>
      </c>
      <c r="Z106">
        <v>5.0019358256093476</v>
      </c>
      <c r="AH106">
        <v>0</v>
      </c>
    </row>
    <row r="107" spans="10:38" x14ac:dyDescent="0.3">
      <c r="K107">
        <v>3.2525566792934701</v>
      </c>
      <c r="Z107">
        <v>4.777855140917298</v>
      </c>
      <c r="AG107">
        <v>32</v>
      </c>
      <c r="AH107">
        <v>4.1451578120761301</v>
      </c>
      <c r="AL107">
        <f t="shared" si="7"/>
        <v>17.237285987423114</v>
      </c>
    </row>
    <row r="108" spans="10:38" x14ac:dyDescent="0.3">
      <c r="J108">
        <v>43</v>
      </c>
      <c r="K108">
        <v>9.4389809478886821</v>
      </c>
      <c r="O108">
        <f t="shared" si="5"/>
        <v>14.166103549965031</v>
      </c>
      <c r="Y108">
        <v>43</v>
      </c>
      <c r="Z108">
        <v>14.252442096650325</v>
      </c>
      <c r="AD108">
        <f t="shared" si="6"/>
        <v>28.384003129158373</v>
      </c>
      <c r="AH108">
        <v>5.5068912923549069</v>
      </c>
    </row>
    <row r="109" spans="10:38" x14ac:dyDescent="0.3">
      <c r="K109">
        <v>8.8369587461202137</v>
      </c>
      <c r="Z109">
        <v>13.632111126256179</v>
      </c>
      <c r="AH109">
        <v>31.774417705902465</v>
      </c>
    </row>
    <row r="110" spans="10:38" x14ac:dyDescent="0.3">
      <c r="K110">
        <v>4.4271822691390126</v>
      </c>
      <c r="Z110">
        <v>12.619597058017746</v>
      </c>
      <c r="AH110">
        <v>0</v>
      </c>
    </row>
    <row r="111" spans="10:38" x14ac:dyDescent="0.3">
      <c r="J111">
        <v>44</v>
      </c>
      <c r="K111">
        <v>11.984921863784582</v>
      </c>
      <c r="O111">
        <f t="shared" si="5"/>
        <v>16.974810303910875</v>
      </c>
      <c r="Y111">
        <v>44</v>
      </c>
      <c r="Z111">
        <v>19.250127398135319</v>
      </c>
      <c r="AD111">
        <f t="shared" si="6"/>
        <v>38.46065749790575</v>
      </c>
      <c r="AG111">
        <v>33</v>
      </c>
      <c r="AH111">
        <v>10.61740529740573</v>
      </c>
      <c r="AL111">
        <f t="shared" si="7"/>
        <v>30.664149685099563</v>
      </c>
    </row>
    <row r="112" spans="10:38" x14ac:dyDescent="0.3">
      <c r="K112">
        <v>3.6985669022077357</v>
      </c>
      <c r="Z112">
        <v>16.571975564119402</v>
      </c>
      <c r="AH112">
        <v>10.934682230989258</v>
      </c>
    </row>
    <row r="113" spans="10:38" x14ac:dyDescent="0.3">
      <c r="K113">
        <v>10.501416562723657</v>
      </c>
      <c r="Z113">
        <v>20.125146642501388</v>
      </c>
      <c r="AH113">
        <v>36.665576645807633</v>
      </c>
    </row>
    <row r="114" spans="10:38" x14ac:dyDescent="0.3">
      <c r="J114">
        <v>45</v>
      </c>
      <c r="K114">
        <v>57.566130719222322</v>
      </c>
      <c r="O114">
        <f t="shared" si="5"/>
        <v>95.515871625739976</v>
      </c>
      <c r="Y114">
        <v>45</v>
      </c>
      <c r="Z114">
        <v>96.431416739038383</v>
      </c>
      <c r="AD114">
        <f t="shared" si="6"/>
        <v>198.11952265721621</v>
      </c>
      <c r="AH114">
        <v>9.7478691056536668</v>
      </c>
    </row>
    <row r="115" spans="10:38" x14ac:dyDescent="0.3">
      <c r="K115">
        <v>55.72605167795809</v>
      </c>
      <c r="Z115">
        <v>98.284098090482146</v>
      </c>
      <c r="AG115">
        <v>34</v>
      </c>
      <c r="AH115">
        <v>13.824984013371122</v>
      </c>
      <c r="AL115">
        <f t="shared" si="7"/>
        <v>28.984434411935865</v>
      </c>
    </row>
    <row r="116" spans="10:38" x14ac:dyDescent="0.3">
      <c r="K116">
        <v>57.628628230616307</v>
      </c>
      <c r="Z116">
        <v>94.38157256959812</v>
      </c>
      <c r="AH116">
        <v>10.949748965031269</v>
      </c>
    </row>
    <row r="117" spans="10:38" x14ac:dyDescent="0.3">
      <c r="J117">
        <v>46</v>
      </c>
      <c r="K117">
        <v>24.349834909046162</v>
      </c>
      <c r="O117">
        <f t="shared" si="5"/>
        <v>39.524145333468049</v>
      </c>
      <c r="Y117">
        <v>46</v>
      </c>
      <c r="Z117">
        <v>32.627828776906128</v>
      </c>
      <c r="AD117">
        <f t="shared" si="6"/>
        <v>67.418400317164583</v>
      </c>
      <c r="AH117">
        <v>14.32324568574699</v>
      </c>
    </row>
    <row r="118" spans="10:38" x14ac:dyDescent="0.3">
      <c r="K118">
        <v>21.764948006932407</v>
      </c>
      <c r="Z118">
        <v>31.492794389164946</v>
      </c>
      <c r="AH118">
        <v>11.038179722631019</v>
      </c>
    </row>
    <row r="119" spans="10:38" x14ac:dyDescent="0.3">
      <c r="K119">
        <v>23.021226487230464</v>
      </c>
      <c r="Z119">
        <v>34.873694267068487</v>
      </c>
      <c r="AG119">
        <v>36</v>
      </c>
      <c r="AH119">
        <v>179.43628628781823</v>
      </c>
      <c r="AL119">
        <f t="shared" si="7"/>
        <v>398.908092433984</v>
      </c>
    </row>
    <row r="120" spans="10:38" x14ac:dyDescent="0.3">
      <c r="AH120">
        <v>182.83481759979972</v>
      </c>
    </row>
    <row r="121" spans="10:38" x14ac:dyDescent="0.3">
      <c r="AH121">
        <v>178.53333977436566</v>
      </c>
    </row>
    <row r="122" spans="10:38" x14ac:dyDescent="0.3">
      <c r="AH122">
        <v>175.80584171367835</v>
      </c>
    </row>
    <row r="123" spans="10:38" x14ac:dyDescent="0.3">
      <c r="AG123">
        <v>37</v>
      </c>
      <c r="AH123">
        <v>674.86463221651513</v>
      </c>
      <c r="AL123">
        <f t="shared" si="7"/>
        <v>1489.0530740023016</v>
      </c>
    </row>
    <row r="124" spans="10:38" x14ac:dyDescent="0.3">
      <c r="AH124">
        <v>673.57717876564038</v>
      </c>
    </row>
    <row r="125" spans="10:38" x14ac:dyDescent="0.3">
      <c r="AH125">
        <v>688.09548582725165</v>
      </c>
    </row>
    <row r="126" spans="10:38" x14ac:dyDescent="0.3">
      <c r="AH126">
        <v>663.49848744992232</v>
      </c>
    </row>
    <row r="127" spans="10:38" x14ac:dyDescent="0.3">
      <c r="AG127">
        <v>38</v>
      </c>
      <c r="AH127">
        <v>266.94993469085085</v>
      </c>
      <c r="AL127">
        <f t="shared" si="7"/>
        <v>598.84599587072375</v>
      </c>
    </row>
    <row r="128" spans="10:38" x14ac:dyDescent="0.3">
      <c r="AH128">
        <v>270.47424283866542</v>
      </c>
    </row>
    <row r="129" spans="33:38" x14ac:dyDescent="0.3">
      <c r="AH129">
        <v>288.43345422655591</v>
      </c>
    </row>
    <row r="130" spans="33:38" x14ac:dyDescent="0.3">
      <c r="AH130">
        <v>278.33987409042595</v>
      </c>
    </row>
    <row r="131" spans="33:38" x14ac:dyDescent="0.3">
      <c r="AG131">
        <v>39</v>
      </c>
      <c r="AH131">
        <v>229.34053135842177</v>
      </c>
      <c r="AL131">
        <f t="shared" si="7"/>
        <v>525.83439639611299</v>
      </c>
    </row>
    <row r="132" spans="33:38" x14ac:dyDescent="0.3">
      <c r="AH132">
        <v>242.98498657901692</v>
      </c>
    </row>
    <row r="133" spans="33:38" x14ac:dyDescent="0.3">
      <c r="AH133">
        <v>259.42465478543932</v>
      </c>
    </row>
    <row r="134" spans="33:38" x14ac:dyDescent="0.3">
      <c r="AH134">
        <v>235.19387212819885</v>
      </c>
    </row>
    <row r="135" spans="33:38" x14ac:dyDescent="0.3">
      <c r="AG135">
        <v>40</v>
      </c>
      <c r="AH135">
        <v>128.53862245855882</v>
      </c>
      <c r="AL135">
        <f t="shared" ref="AL135:AL155" si="9">((AH135*$AJ$3)+(AH136*$AJ$4)+(AH137*$AJ$5)+(AH138*$AJ$6))/$AJ$3+$AJ$4+$AJ$5+$AJ$6</f>
        <v>291.99935223823491</v>
      </c>
    </row>
    <row r="136" spans="33:38" x14ac:dyDescent="0.3">
      <c r="AH136">
        <v>136.93024565730366</v>
      </c>
    </row>
    <row r="137" spans="33:38" x14ac:dyDescent="0.3">
      <c r="AH137">
        <v>126.66290114006274</v>
      </c>
    </row>
    <row r="138" spans="33:38" x14ac:dyDescent="0.3">
      <c r="AH138">
        <v>134.75237102444606</v>
      </c>
    </row>
    <row r="139" spans="33:38" x14ac:dyDescent="0.3">
      <c r="AG139">
        <v>42</v>
      </c>
      <c r="AH139">
        <v>5.1924699060523434</v>
      </c>
      <c r="AL139">
        <f t="shared" si="9"/>
        <v>12.730581334390074</v>
      </c>
    </row>
    <row r="140" spans="33:38" x14ac:dyDescent="0.3">
      <c r="AH140">
        <v>5.9664266806362338</v>
      </c>
    </row>
    <row r="141" spans="33:38" x14ac:dyDescent="0.3">
      <c r="AH141">
        <v>5.531236529571772</v>
      </c>
    </row>
    <row r="142" spans="33:38" x14ac:dyDescent="0.3">
      <c r="AH142">
        <v>0</v>
      </c>
    </row>
    <row r="143" spans="33:38" x14ac:dyDescent="0.3">
      <c r="AG143">
        <v>43</v>
      </c>
      <c r="AH143">
        <v>1.9082435161124516</v>
      </c>
      <c r="AL143">
        <f t="shared" si="9"/>
        <v>16.444408931722215</v>
      </c>
    </row>
    <row r="144" spans="33:38" x14ac:dyDescent="0.3">
      <c r="AH144">
        <v>13.447060132494542</v>
      </c>
    </row>
    <row r="145" spans="33:38" x14ac:dyDescent="0.3">
      <c r="AH145">
        <v>8.284777858703567</v>
      </c>
    </row>
    <row r="146" spans="33:38" x14ac:dyDescent="0.3">
      <c r="AH146">
        <v>0</v>
      </c>
    </row>
    <row r="147" spans="33:38" x14ac:dyDescent="0.3">
      <c r="AG147">
        <v>44</v>
      </c>
      <c r="AH147">
        <v>2.2500844199303254</v>
      </c>
      <c r="AL147">
        <f t="shared" si="9"/>
        <v>26.775433078526351</v>
      </c>
    </row>
    <row r="148" spans="33:38" x14ac:dyDescent="0.3">
      <c r="AH148">
        <v>20.302424121609405</v>
      </c>
    </row>
    <row r="149" spans="33:38" x14ac:dyDescent="0.3">
      <c r="AH149">
        <v>16.026093612973227</v>
      </c>
    </row>
    <row r="150" spans="33:38" x14ac:dyDescent="0.3">
      <c r="AH150">
        <v>19.10410480796746</v>
      </c>
    </row>
    <row r="151" spans="33:38" x14ac:dyDescent="0.3">
      <c r="AG151">
        <v>45</v>
      </c>
      <c r="AH151">
        <v>93.66418784802039</v>
      </c>
      <c r="AL151">
        <f t="shared" si="9"/>
        <v>208.25380887400684</v>
      </c>
    </row>
    <row r="152" spans="33:38" x14ac:dyDescent="0.3">
      <c r="AH152">
        <v>95.308392866249122</v>
      </c>
    </row>
    <row r="153" spans="33:38" x14ac:dyDescent="0.3">
      <c r="AH153">
        <v>88.656784636651466</v>
      </c>
    </row>
    <row r="154" spans="33:38" x14ac:dyDescent="0.3">
      <c r="AH154">
        <v>96.488942032540265</v>
      </c>
    </row>
    <row r="155" spans="33:38" x14ac:dyDescent="0.3">
      <c r="AG155">
        <v>46</v>
      </c>
      <c r="AH155">
        <v>27.401105850847387</v>
      </c>
      <c r="AL155">
        <f t="shared" si="9"/>
        <v>64.002169788629232</v>
      </c>
    </row>
    <row r="156" spans="33:38" x14ac:dyDescent="0.3">
      <c r="AH156">
        <v>31.248406403130176</v>
      </c>
    </row>
    <row r="157" spans="33:38" x14ac:dyDescent="0.3">
      <c r="AH157">
        <v>28.8034915349971</v>
      </c>
    </row>
    <row r="158" spans="33:38" x14ac:dyDescent="0.3">
      <c r="AH158">
        <v>17.937962007399232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A28E-FD28-470A-B8E4-40611A06614B}">
  <dimension ref="A1:Q198"/>
  <sheetViews>
    <sheetView zoomScale="144" workbookViewId="0">
      <selection activeCell="R13" sqref="R13"/>
    </sheetView>
  </sheetViews>
  <sheetFormatPr defaultRowHeight="14.4" x14ac:dyDescent="0.3"/>
  <sheetData>
    <row r="1" spans="1:17" x14ac:dyDescent="0.3">
      <c r="A1" t="s">
        <v>35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L1" t="s">
        <v>35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</row>
    <row r="2" spans="1:17" x14ac:dyDescent="0.3">
      <c r="A2" t="s">
        <v>36</v>
      </c>
      <c r="B2" s="9" t="s">
        <v>7</v>
      </c>
      <c r="C2" s="23">
        <v>351.93</v>
      </c>
      <c r="L2" t="s">
        <v>36</v>
      </c>
      <c r="M2" s="9" t="s">
        <v>7</v>
      </c>
      <c r="N2" s="23">
        <v>351.93</v>
      </c>
    </row>
    <row r="3" spans="1:17" x14ac:dyDescent="0.3">
      <c r="B3" s="9"/>
      <c r="C3" s="9">
        <v>295.22000000000003</v>
      </c>
      <c r="M3" s="9"/>
      <c r="N3" s="9">
        <v>295.22000000000003</v>
      </c>
    </row>
    <row r="4" spans="1:17" x14ac:dyDescent="0.3">
      <c r="B4" s="9" t="s">
        <v>8</v>
      </c>
      <c r="C4" s="23">
        <v>609.32000000000005</v>
      </c>
      <c r="M4" s="9" t="s">
        <v>8</v>
      </c>
      <c r="N4" s="23">
        <v>609.32000000000005</v>
      </c>
    </row>
    <row r="5" spans="1:17" x14ac:dyDescent="0.3">
      <c r="B5" s="9"/>
      <c r="C5" s="23">
        <v>1764.49</v>
      </c>
      <c r="M5" s="9"/>
      <c r="N5" s="23">
        <v>1764.49</v>
      </c>
    </row>
    <row r="6" spans="1:17" x14ac:dyDescent="0.3">
      <c r="B6" s="9"/>
      <c r="C6" s="9">
        <v>1120.29</v>
      </c>
      <c r="M6" s="9"/>
      <c r="N6" s="9">
        <v>1120.29</v>
      </c>
    </row>
    <row r="7" spans="1:17" x14ac:dyDescent="0.3">
      <c r="B7" s="9" t="s">
        <v>9</v>
      </c>
      <c r="C7" s="9">
        <v>1460.82</v>
      </c>
      <c r="D7" s="18" t="s">
        <v>171</v>
      </c>
      <c r="M7" s="9" t="s">
        <v>9</v>
      </c>
      <c r="N7" s="9">
        <v>1460.82</v>
      </c>
      <c r="O7" s="18" t="s">
        <v>171</v>
      </c>
    </row>
    <row r="8" spans="1:17" x14ac:dyDescent="0.3">
      <c r="B8" s="9" t="s">
        <v>10</v>
      </c>
      <c r="C8" s="9">
        <v>238.63</v>
      </c>
      <c r="M8" s="9" t="s">
        <v>10</v>
      </c>
      <c r="N8" s="9">
        <v>238.63</v>
      </c>
    </row>
    <row r="9" spans="1:17" x14ac:dyDescent="0.3">
      <c r="B9" s="9" t="s">
        <v>11</v>
      </c>
      <c r="C9" s="9">
        <v>911.21</v>
      </c>
      <c r="M9" s="9" t="s">
        <v>11</v>
      </c>
      <c r="N9" s="9">
        <v>911.21</v>
      </c>
    </row>
    <row r="10" spans="1:17" x14ac:dyDescent="0.3">
      <c r="B10" s="9"/>
      <c r="C10" s="9">
        <v>968.97</v>
      </c>
      <c r="M10" s="9"/>
      <c r="N10" s="9">
        <v>968.97</v>
      </c>
    </row>
    <row r="11" spans="1:17" x14ac:dyDescent="0.3">
      <c r="B11" s="9"/>
      <c r="C11" s="9">
        <v>338.32</v>
      </c>
      <c r="M11" s="9"/>
      <c r="N11" s="9">
        <v>338.32</v>
      </c>
    </row>
    <row r="12" spans="1:17" x14ac:dyDescent="0.3">
      <c r="B12" s="9" t="s">
        <v>12</v>
      </c>
      <c r="C12" s="9">
        <v>2614.5300000000002</v>
      </c>
      <c r="D12" s="18" t="s">
        <v>172</v>
      </c>
      <c r="M12" s="9" t="s">
        <v>12</v>
      </c>
      <c r="N12" s="9">
        <v>2614.5300000000002</v>
      </c>
      <c r="O12" s="18" t="s">
        <v>172</v>
      </c>
    </row>
    <row r="13" spans="1:17" x14ac:dyDescent="0.3">
      <c r="B13" s="9"/>
      <c r="C13" s="9">
        <v>583.19000000000005</v>
      </c>
      <c r="M13" s="9"/>
      <c r="N13" s="9">
        <v>583.19000000000005</v>
      </c>
    </row>
    <row r="14" spans="1:17" x14ac:dyDescent="0.3">
      <c r="B14" s="9"/>
      <c r="C14" s="9">
        <v>510.77</v>
      </c>
      <c r="D14" s="18" t="s">
        <v>173</v>
      </c>
      <c r="M14" s="9"/>
      <c r="N14" s="9">
        <v>510.77</v>
      </c>
      <c r="O14" s="18" t="s">
        <v>173</v>
      </c>
    </row>
    <row r="15" spans="1:17" x14ac:dyDescent="0.3">
      <c r="B15" s="9"/>
      <c r="C15" s="9">
        <v>860.56</v>
      </c>
      <c r="M15" s="9"/>
      <c r="N15" s="9">
        <v>860.56</v>
      </c>
    </row>
    <row r="16" spans="1:17" x14ac:dyDescent="0.3">
      <c r="A16" t="s">
        <v>37</v>
      </c>
      <c r="B16" s="9" t="s">
        <v>7</v>
      </c>
      <c r="C16" s="1">
        <v>351.93</v>
      </c>
      <c r="D16" s="19" t="s">
        <v>174</v>
      </c>
      <c r="L16" t="s">
        <v>230</v>
      </c>
      <c r="M16" s="1" t="s">
        <v>7</v>
      </c>
      <c r="N16" s="1">
        <v>351.93</v>
      </c>
    </row>
    <row r="17" spans="1:15" x14ac:dyDescent="0.3">
      <c r="B17" s="9"/>
      <c r="C17" s="1">
        <v>295.22000000000003</v>
      </c>
      <c r="M17" s="1"/>
      <c r="N17" s="1">
        <v>295.22000000000003</v>
      </c>
    </row>
    <row r="18" spans="1:15" x14ac:dyDescent="0.3">
      <c r="B18" s="9" t="s">
        <v>8</v>
      </c>
      <c r="C18" s="1">
        <v>609.32000000000005</v>
      </c>
      <c r="M18" s="1" t="s">
        <v>8</v>
      </c>
      <c r="N18" s="1">
        <v>609.32000000000005</v>
      </c>
    </row>
    <row r="19" spans="1:15" x14ac:dyDescent="0.3">
      <c r="B19" s="9"/>
      <c r="C19" s="1">
        <v>1764.49</v>
      </c>
      <c r="M19" s="1"/>
      <c r="N19" s="1">
        <v>1764.49</v>
      </c>
    </row>
    <row r="20" spans="1:15" x14ac:dyDescent="0.3">
      <c r="B20" s="9"/>
      <c r="C20" s="9">
        <v>1120.29</v>
      </c>
      <c r="M20" s="1"/>
      <c r="N20" s="1">
        <v>1120.29</v>
      </c>
    </row>
    <row r="21" spans="1:15" x14ac:dyDescent="0.3">
      <c r="B21" s="9" t="s">
        <v>9</v>
      </c>
      <c r="C21" s="9">
        <v>1460.82</v>
      </c>
      <c r="D21" s="19" t="s">
        <v>175</v>
      </c>
      <c r="M21" s="1" t="s">
        <v>9</v>
      </c>
      <c r="N21" s="1">
        <v>1460.82</v>
      </c>
      <c r="O21" t="s">
        <v>202</v>
      </c>
    </row>
    <row r="22" spans="1:15" x14ac:dyDescent="0.3">
      <c r="B22" s="9" t="s">
        <v>10</v>
      </c>
      <c r="C22" s="9">
        <v>238.63</v>
      </c>
      <c r="M22" s="1" t="s">
        <v>10</v>
      </c>
      <c r="N22" s="1">
        <v>238.63</v>
      </c>
      <c r="O22" t="s">
        <v>203</v>
      </c>
    </row>
    <row r="23" spans="1:15" x14ac:dyDescent="0.3">
      <c r="B23" s="9" t="s">
        <v>11</v>
      </c>
      <c r="C23" s="9">
        <v>911.21</v>
      </c>
      <c r="M23" s="1" t="s">
        <v>11</v>
      </c>
      <c r="N23" s="1">
        <v>911.21</v>
      </c>
    </row>
    <row r="24" spans="1:15" x14ac:dyDescent="0.3">
      <c r="B24" s="9"/>
      <c r="C24" s="9">
        <v>968.97</v>
      </c>
      <c r="M24" s="1"/>
      <c r="N24" s="1">
        <v>968.97</v>
      </c>
    </row>
    <row r="25" spans="1:15" x14ac:dyDescent="0.3">
      <c r="B25" s="9"/>
      <c r="C25" s="9">
        <v>338.32</v>
      </c>
      <c r="M25" s="1"/>
      <c r="N25" s="1">
        <v>338.32</v>
      </c>
    </row>
    <row r="26" spans="1:15" x14ac:dyDescent="0.3">
      <c r="B26" s="9" t="s">
        <v>12</v>
      </c>
      <c r="C26" s="23">
        <v>2614.5300000000002</v>
      </c>
      <c r="M26" s="1" t="s">
        <v>12</v>
      </c>
      <c r="N26" s="1">
        <v>2614.5300000000002</v>
      </c>
      <c r="O26" t="s">
        <v>231</v>
      </c>
    </row>
    <row r="27" spans="1:15" x14ac:dyDescent="0.3">
      <c r="B27" s="9"/>
      <c r="C27" s="9">
        <v>583.19000000000005</v>
      </c>
      <c r="D27" s="19" t="s">
        <v>176</v>
      </c>
      <c r="M27" s="1"/>
      <c r="N27" s="1">
        <v>583.19000000000005</v>
      </c>
      <c r="O27" t="s">
        <v>204</v>
      </c>
    </row>
    <row r="28" spans="1:15" x14ac:dyDescent="0.3">
      <c r="B28" s="9"/>
      <c r="C28" s="9">
        <v>510.77</v>
      </c>
      <c r="D28" s="19" t="s">
        <v>177</v>
      </c>
      <c r="M28" s="1"/>
      <c r="N28" s="1">
        <v>510.77</v>
      </c>
      <c r="O28" t="s">
        <v>205</v>
      </c>
    </row>
    <row r="29" spans="1:15" x14ac:dyDescent="0.3">
      <c r="B29" s="9"/>
      <c r="C29" s="9">
        <v>860.56</v>
      </c>
      <c r="M29" s="1"/>
      <c r="N29" s="1">
        <v>860.56</v>
      </c>
    </row>
    <row r="30" spans="1:15" x14ac:dyDescent="0.3">
      <c r="A30" t="s">
        <v>38</v>
      </c>
      <c r="B30" s="9" t="s">
        <v>7</v>
      </c>
      <c r="C30" s="1">
        <v>351.93</v>
      </c>
      <c r="D30" s="19" t="s">
        <v>178</v>
      </c>
      <c r="L30" t="s">
        <v>207</v>
      </c>
      <c r="M30" s="1" t="s">
        <v>7</v>
      </c>
      <c r="N30" s="1">
        <v>351.93</v>
      </c>
      <c r="O30" s="19"/>
    </row>
    <row r="31" spans="1:15" x14ac:dyDescent="0.3">
      <c r="B31" s="9"/>
      <c r="C31" s="1">
        <v>295.22000000000003</v>
      </c>
      <c r="M31" s="1"/>
      <c r="N31" s="1">
        <v>295.22000000000003</v>
      </c>
    </row>
    <row r="32" spans="1:15" x14ac:dyDescent="0.3">
      <c r="B32" s="9" t="s">
        <v>8</v>
      </c>
      <c r="C32" s="23">
        <v>609.32000000000005</v>
      </c>
      <c r="M32" s="1" t="s">
        <v>8</v>
      </c>
      <c r="N32" s="1">
        <v>609.32000000000005</v>
      </c>
    </row>
    <row r="33" spans="1:15" x14ac:dyDescent="0.3">
      <c r="B33" s="9"/>
      <c r="C33" s="1">
        <v>1764.49</v>
      </c>
      <c r="M33" s="1"/>
      <c r="N33" s="1">
        <v>1764.49</v>
      </c>
    </row>
    <row r="34" spans="1:15" x14ac:dyDescent="0.3">
      <c r="B34" s="9"/>
      <c r="C34" s="9">
        <v>1120.29</v>
      </c>
      <c r="M34" s="1"/>
      <c r="N34" s="1">
        <v>1120.29</v>
      </c>
    </row>
    <row r="35" spans="1:15" x14ac:dyDescent="0.3">
      <c r="B35" s="9" t="s">
        <v>9</v>
      </c>
      <c r="C35" s="9">
        <v>1460.82</v>
      </c>
      <c r="D35" s="18" t="s">
        <v>179</v>
      </c>
      <c r="M35" s="1" t="s">
        <v>9</v>
      </c>
      <c r="N35" s="1">
        <v>1460.82</v>
      </c>
      <c r="O35" s="19" t="s">
        <v>208</v>
      </c>
    </row>
    <row r="36" spans="1:15" x14ac:dyDescent="0.3">
      <c r="B36" s="9" t="s">
        <v>10</v>
      </c>
      <c r="C36" s="9">
        <v>238.63</v>
      </c>
      <c r="M36" s="1" t="s">
        <v>10</v>
      </c>
      <c r="N36" s="1">
        <v>238.63</v>
      </c>
      <c r="O36" s="19"/>
    </row>
    <row r="37" spans="1:15" x14ac:dyDescent="0.3">
      <c r="B37" s="9" t="s">
        <v>11</v>
      </c>
      <c r="C37" s="9">
        <v>911.21</v>
      </c>
      <c r="M37" s="1" t="s">
        <v>11</v>
      </c>
      <c r="N37" s="1">
        <v>911.21</v>
      </c>
      <c r="O37" s="19"/>
    </row>
    <row r="38" spans="1:15" x14ac:dyDescent="0.3">
      <c r="B38" s="9"/>
      <c r="C38" s="9">
        <v>968.97</v>
      </c>
      <c r="M38" s="1"/>
      <c r="N38" s="1">
        <v>968.97</v>
      </c>
    </row>
    <row r="39" spans="1:15" x14ac:dyDescent="0.3">
      <c r="B39" s="9"/>
      <c r="C39" s="9">
        <v>338.32</v>
      </c>
      <c r="M39" s="1"/>
      <c r="N39" s="1">
        <v>338.32</v>
      </c>
    </row>
    <row r="40" spans="1:15" x14ac:dyDescent="0.3">
      <c r="B40" s="9" t="s">
        <v>12</v>
      </c>
      <c r="C40" s="23">
        <v>2614.5300000000002</v>
      </c>
      <c r="M40" s="1" t="s">
        <v>12</v>
      </c>
      <c r="N40" s="1">
        <v>2614.5300000000002</v>
      </c>
      <c r="O40" s="18" t="s">
        <v>209</v>
      </c>
    </row>
    <row r="41" spans="1:15" x14ac:dyDescent="0.3">
      <c r="B41" s="9"/>
      <c r="C41" s="9">
        <v>583.19000000000005</v>
      </c>
      <c r="M41" s="1"/>
      <c r="N41" s="1">
        <v>583.19000000000005</v>
      </c>
    </row>
    <row r="42" spans="1:15" x14ac:dyDescent="0.3">
      <c r="B42" s="9"/>
      <c r="C42" s="23">
        <v>510.77</v>
      </c>
      <c r="M42" s="1"/>
      <c r="N42" s="1">
        <v>510.77</v>
      </c>
      <c r="O42" s="19" t="s">
        <v>210</v>
      </c>
    </row>
    <row r="43" spans="1:15" x14ac:dyDescent="0.3">
      <c r="B43" s="9"/>
      <c r="C43" s="9">
        <v>860.56</v>
      </c>
      <c r="M43" s="1"/>
      <c r="N43" s="1">
        <v>860.56</v>
      </c>
    </row>
    <row r="44" spans="1:15" x14ac:dyDescent="0.3">
      <c r="A44" t="s">
        <v>39</v>
      </c>
      <c r="B44" s="1" t="s">
        <v>7</v>
      </c>
      <c r="C44" s="1">
        <v>351.93</v>
      </c>
      <c r="D44" s="19" t="s">
        <v>180</v>
      </c>
      <c r="L44" t="s">
        <v>211</v>
      </c>
      <c r="M44" s="1" t="s">
        <v>7</v>
      </c>
      <c r="N44" s="1">
        <v>351.93</v>
      </c>
      <c r="O44" s="18" t="s">
        <v>212</v>
      </c>
    </row>
    <row r="45" spans="1:15" x14ac:dyDescent="0.3">
      <c r="B45" s="1"/>
      <c r="C45" s="1">
        <v>295.22000000000003</v>
      </c>
      <c r="M45" s="1"/>
      <c r="N45" s="1">
        <v>295.22000000000003</v>
      </c>
      <c r="O45" s="18" t="s">
        <v>213</v>
      </c>
    </row>
    <row r="46" spans="1:15" x14ac:dyDescent="0.3">
      <c r="B46" s="1" t="s">
        <v>8</v>
      </c>
      <c r="C46" s="1">
        <v>609.32000000000005</v>
      </c>
      <c r="M46" s="1" t="s">
        <v>8</v>
      </c>
      <c r="N46" s="1">
        <v>609.32000000000005</v>
      </c>
    </row>
    <row r="47" spans="1:15" x14ac:dyDescent="0.3">
      <c r="B47" s="1"/>
      <c r="C47" s="1">
        <v>1764.49</v>
      </c>
      <c r="M47" s="1"/>
      <c r="N47" s="1">
        <v>1764.49</v>
      </c>
    </row>
    <row r="48" spans="1:15" x14ac:dyDescent="0.3">
      <c r="B48" s="1"/>
      <c r="C48" s="1">
        <v>1120.29</v>
      </c>
      <c r="M48" s="1"/>
      <c r="N48" s="1">
        <v>1120.29</v>
      </c>
    </row>
    <row r="49" spans="1:15" x14ac:dyDescent="0.3">
      <c r="B49" s="1" t="s">
        <v>9</v>
      </c>
      <c r="C49" s="1">
        <v>1460.82</v>
      </c>
      <c r="D49" s="18" t="s">
        <v>181</v>
      </c>
      <c r="M49" s="1" t="s">
        <v>9</v>
      </c>
      <c r="N49" s="1">
        <v>1460.82</v>
      </c>
      <c r="O49" s="18" t="s">
        <v>214</v>
      </c>
    </row>
    <row r="50" spans="1:15" x14ac:dyDescent="0.3">
      <c r="B50" s="1" t="s">
        <v>10</v>
      </c>
      <c r="C50" s="1">
        <v>238.63</v>
      </c>
      <c r="D50" s="19" t="s">
        <v>182</v>
      </c>
      <c r="M50" s="1" t="s">
        <v>10</v>
      </c>
      <c r="N50" s="1">
        <v>238.63</v>
      </c>
      <c r="O50" s="18" t="s">
        <v>215</v>
      </c>
    </row>
    <row r="51" spans="1:15" x14ac:dyDescent="0.3">
      <c r="B51" s="1" t="s">
        <v>11</v>
      </c>
      <c r="C51" s="1">
        <v>911.21</v>
      </c>
      <c r="M51" s="1" t="s">
        <v>11</v>
      </c>
      <c r="N51" s="1">
        <v>911.21</v>
      </c>
    </row>
    <row r="52" spans="1:15" x14ac:dyDescent="0.3">
      <c r="B52" s="1"/>
      <c r="C52" s="1">
        <v>968.97</v>
      </c>
      <c r="D52" s="18"/>
      <c r="M52" s="1"/>
      <c r="N52" s="1">
        <v>968.97</v>
      </c>
    </row>
    <row r="53" spans="1:15" x14ac:dyDescent="0.3">
      <c r="B53" s="1"/>
      <c r="C53" s="1">
        <v>338.32</v>
      </c>
      <c r="M53" s="1"/>
      <c r="N53" s="1">
        <v>338.32</v>
      </c>
    </row>
    <row r="54" spans="1:15" x14ac:dyDescent="0.3">
      <c r="B54" s="1" t="s">
        <v>12</v>
      </c>
      <c r="C54" s="1">
        <v>2614.5300000000002</v>
      </c>
      <c r="D54" s="18" t="s">
        <v>183</v>
      </c>
      <c r="M54" s="1" t="s">
        <v>12</v>
      </c>
      <c r="N54" s="1">
        <v>2614.5300000000002</v>
      </c>
    </row>
    <row r="55" spans="1:15" x14ac:dyDescent="0.3">
      <c r="B55" s="1"/>
      <c r="C55" s="1">
        <v>583.19000000000005</v>
      </c>
      <c r="M55" s="1"/>
      <c r="N55" s="1">
        <v>583.19000000000005</v>
      </c>
    </row>
    <row r="56" spans="1:15" x14ac:dyDescent="0.3">
      <c r="B56" s="1"/>
      <c r="C56" s="23">
        <v>510.77</v>
      </c>
      <c r="M56" s="1"/>
      <c r="N56" s="1">
        <v>510.77</v>
      </c>
      <c r="O56" s="18"/>
    </row>
    <row r="57" spans="1:15" x14ac:dyDescent="0.3">
      <c r="B57" s="1"/>
      <c r="C57" s="1">
        <v>860.56</v>
      </c>
      <c r="M57" s="1"/>
      <c r="N57" s="1">
        <v>860.56</v>
      </c>
    </row>
    <row r="58" spans="1:15" x14ac:dyDescent="0.3">
      <c r="A58" t="s">
        <v>40</v>
      </c>
      <c r="B58" s="1" t="s">
        <v>7</v>
      </c>
      <c r="C58" s="1">
        <v>351.93</v>
      </c>
      <c r="L58" t="s">
        <v>216</v>
      </c>
      <c r="M58" s="1" t="s">
        <v>7</v>
      </c>
      <c r="N58" s="1">
        <v>351.93</v>
      </c>
      <c r="O58" s="19" t="s">
        <v>217</v>
      </c>
    </row>
    <row r="59" spans="1:15" x14ac:dyDescent="0.3">
      <c r="B59" s="1"/>
      <c r="C59" s="23">
        <v>295.22000000000003</v>
      </c>
      <c r="M59" s="1"/>
      <c r="N59" s="1">
        <v>295.22000000000003</v>
      </c>
    </row>
    <row r="60" spans="1:15" x14ac:dyDescent="0.3">
      <c r="B60" s="1" t="s">
        <v>8</v>
      </c>
      <c r="C60" s="1">
        <v>609.32000000000005</v>
      </c>
      <c r="M60" s="1" t="s">
        <v>8</v>
      </c>
      <c r="N60" s="1">
        <v>609.32000000000005</v>
      </c>
      <c r="O60" s="18"/>
    </row>
    <row r="61" spans="1:15" x14ac:dyDescent="0.3">
      <c r="B61" s="1"/>
      <c r="C61" s="1">
        <v>1764.49</v>
      </c>
      <c r="M61" s="1"/>
      <c r="N61" s="1">
        <v>1764.49</v>
      </c>
    </row>
    <row r="62" spans="1:15" x14ac:dyDescent="0.3">
      <c r="B62" s="1"/>
      <c r="C62" s="1">
        <v>1120.29</v>
      </c>
      <c r="M62" s="1"/>
      <c r="N62" s="1">
        <v>1120.29</v>
      </c>
    </row>
    <row r="63" spans="1:15" x14ac:dyDescent="0.3">
      <c r="B63" s="1" t="s">
        <v>9</v>
      </c>
      <c r="C63" s="1">
        <v>1460.82</v>
      </c>
      <c r="D63" s="18" t="s">
        <v>184</v>
      </c>
      <c r="M63" s="1" t="s">
        <v>9</v>
      </c>
      <c r="N63" s="1">
        <v>1460.82</v>
      </c>
      <c r="O63" s="18" t="s">
        <v>218</v>
      </c>
    </row>
    <row r="64" spans="1:15" x14ac:dyDescent="0.3">
      <c r="B64" s="1" t="s">
        <v>10</v>
      </c>
      <c r="C64" s="1">
        <v>238.63</v>
      </c>
      <c r="D64" s="19" t="s">
        <v>185</v>
      </c>
      <c r="M64" s="1" t="s">
        <v>10</v>
      </c>
      <c r="N64" s="1">
        <v>238.63</v>
      </c>
      <c r="O64" s="19" t="s">
        <v>219</v>
      </c>
    </row>
    <row r="65" spans="1:15" x14ac:dyDescent="0.3">
      <c r="B65" s="1" t="s">
        <v>11</v>
      </c>
      <c r="C65" s="1">
        <v>911.21</v>
      </c>
      <c r="M65" s="1" t="s">
        <v>11</v>
      </c>
      <c r="N65" s="1">
        <v>911.21</v>
      </c>
    </row>
    <row r="66" spans="1:15" x14ac:dyDescent="0.3">
      <c r="B66" s="1"/>
      <c r="C66" s="1">
        <v>968.97</v>
      </c>
      <c r="M66" s="1"/>
      <c r="N66" s="1">
        <v>968.97</v>
      </c>
    </row>
    <row r="67" spans="1:15" x14ac:dyDescent="0.3">
      <c r="B67" s="1"/>
      <c r="C67" s="1">
        <v>338.32</v>
      </c>
      <c r="M67" s="1"/>
      <c r="N67" s="1">
        <v>338.32</v>
      </c>
    </row>
    <row r="68" spans="1:15" x14ac:dyDescent="0.3">
      <c r="B68" s="1" t="s">
        <v>12</v>
      </c>
      <c r="C68" s="1">
        <v>2614.5300000000002</v>
      </c>
      <c r="D68" s="18" t="s">
        <v>186</v>
      </c>
      <c r="M68" s="1" t="s">
        <v>12</v>
      </c>
      <c r="N68" s="1">
        <v>2614.5300000000002</v>
      </c>
    </row>
    <row r="69" spans="1:15" x14ac:dyDescent="0.3">
      <c r="B69" s="1"/>
      <c r="C69" s="1">
        <v>583.19000000000005</v>
      </c>
      <c r="M69" s="1"/>
      <c r="N69" s="1">
        <v>583.19000000000005</v>
      </c>
    </row>
    <row r="70" spans="1:15" x14ac:dyDescent="0.3">
      <c r="B70" s="1"/>
      <c r="C70" s="1">
        <v>510.77</v>
      </c>
      <c r="D70" s="18" t="s">
        <v>187</v>
      </c>
      <c r="M70" s="1"/>
      <c r="N70" s="1">
        <v>510.77</v>
      </c>
      <c r="O70" s="18"/>
    </row>
    <row r="71" spans="1:15" x14ac:dyDescent="0.3">
      <c r="B71" s="1"/>
      <c r="C71" s="1">
        <v>860.56</v>
      </c>
      <c r="M71" s="1"/>
      <c r="N71" s="1">
        <v>860.56</v>
      </c>
    </row>
    <row r="72" spans="1:15" x14ac:dyDescent="0.3">
      <c r="A72" t="s">
        <v>41</v>
      </c>
      <c r="B72" s="1" t="s">
        <v>7</v>
      </c>
      <c r="C72" s="1">
        <v>351.93</v>
      </c>
      <c r="D72" t="s">
        <v>220</v>
      </c>
      <c r="L72" t="s">
        <v>37</v>
      </c>
      <c r="M72" s="9" t="s">
        <v>7</v>
      </c>
      <c r="N72" s="1">
        <v>351.93</v>
      </c>
      <c r="O72" s="19" t="s">
        <v>174</v>
      </c>
    </row>
    <row r="73" spans="1:15" x14ac:dyDescent="0.3">
      <c r="B73" s="1"/>
      <c r="C73" s="1">
        <v>295.22000000000003</v>
      </c>
      <c r="M73" s="9"/>
      <c r="N73" s="1">
        <v>295.22000000000003</v>
      </c>
    </row>
    <row r="74" spans="1:15" x14ac:dyDescent="0.3">
      <c r="B74" s="1" t="s">
        <v>8</v>
      </c>
      <c r="C74" s="1">
        <v>609.32000000000005</v>
      </c>
      <c r="M74" s="9" t="s">
        <v>8</v>
      </c>
      <c r="N74" s="1">
        <v>609.32000000000005</v>
      </c>
    </row>
    <row r="75" spans="1:15" x14ac:dyDescent="0.3">
      <c r="B75" s="1"/>
      <c r="C75" s="1">
        <v>1764.49</v>
      </c>
      <c r="M75" s="9"/>
      <c r="N75" s="1">
        <v>1764.49</v>
      </c>
    </row>
    <row r="76" spans="1:15" x14ac:dyDescent="0.3">
      <c r="B76" s="1"/>
      <c r="C76" s="1">
        <v>1120.29</v>
      </c>
      <c r="M76" s="9"/>
      <c r="N76" s="9">
        <v>1120.29</v>
      </c>
    </row>
    <row r="77" spans="1:15" x14ac:dyDescent="0.3">
      <c r="B77" s="1" t="s">
        <v>9</v>
      </c>
      <c r="C77" s="1">
        <v>1460.82</v>
      </c>
      <c r="D77" s="19" t="s">
        <v>221</v>
      </c>
      <c r="M77" s="9" t="s">
        <v>9</v>
      </c>
      <c r="N77" s="9">
        <v>1460.82</v>
      </c>
      <c r="O77" s="19" t="s">
        <v>175</v>
      </c>
    </row>
    <row r="78" spans="1:15" x14ac:dyDescent="0.3">
      <c r="B78" s="1" t="s">
        <v>10</v>
      </c>
      <c r="C78" s="23">
        <v>238.63</v>
      </c>
      <c r="M78" s="9" t="s">
        <v>10</v>
      </c>
      <c r="N78" s="9">
        <v>238.63</v>
      </c>
    </row>
    <row r="79" spans="1:15" x14ac:dyDescent="0.3">
      <c r="B79" s="1" t="s">
        <v>11</v>
      </c>
      <c r="C79" s="1">
        <v>911.21</v>
      </c>
      <c r="M79" s="9" t="s">
        <v>11</v>
      </c>
      <c r="N79" s="9">
        <v>911.21</v>
      </c>
    </row>
    <row r="80" spans="1:15" x14ac:dyDescent="0.3">
      <c r="B80" s="1"/>
      <c r="C80" s="1">
        <v>968.97</v>
      </c>
      <c r="M80" s="9"/>
      <c r="N80" s="9">
        <v>968.97</v>
      </c>
    </row>
    <row r="81" spans="1:15" x14ac:dyDescent="0.3">
      <c r="B81" s="1"/>
      <c r="C81" s="1">
        <v>338.32</v>
      </c>
      <c r="M81" s="9"/>
      <c r="N81" s="9">
        <v>338.32</v>
      </c>
    </row>
    <row r="82" spans="1:15" x14ac:dyDescent="0.3">
      <c r="B82" s="1" t="s">
        <v>12</v>
      </c>
      <c r="C82" s="1">
        <v>2614.5300000000002</v>
      </c>
      <c r="D82" s="18" t="s">
        <v>222</v>
      </c>
      <c r="M82" s="9" t="s">
        <v>12</v>
      </c>
      <c r="N82" s="23">
        <v>2614.5300000000002</v>
      </c>
    </row>
    <row r="83" spans="1:15" x14ac:dyDescent="0.3">
      <c r="B83" s="1"/>
      <c r="C83" s="1">
        <v>583.19000000000005</v>
      </c>
      <c r="D83" s="18" t="s">
        <v>223</v>
      </c>
      <c r="M83" s="9"/>
      <c r="N83" s="9">
        <v>583.19000000000005</v>
      </c>
      <c r="O83" s="19" t="s">
        <v>176</v>
      </c>
    </row>
    <row r="84" spans="1:15" x14ac:dyDescent="0.3">
      <c r="B84" s="1"/>
      <c r="C84" s="1">
        <v>510.77</v>
      </c>
      <c r="D84" s="18" t="s">
        <v>224</v>
      </c>
      <c r="M84" s="9"/>
      <c r="N84" s="9">
        <v>510.77</v>
      </c>
      <c r="O84" s="19" t="s">
        <v>177</v>
      </c>
    </row>
    <row r="85" spans="1:15" x14ac:dyDescent="0.3">
      <c r="B85" s="1"/>
      <c r="C85" s="1">
        <v>860.56</v>
      </c>
      <c r="M85" s="9"/>
      <c r="N85" s="9">
        <v>860.56</v>
      </c>
    </row>
    <row r="86" spans="1:15" x14ac:dyDescent="0.3">
      <c r="A86" t="s">
        <v>42</v>
      </c>
      <c r="B86" s="1" t="s">
        <v>7</v>
      </c>
      <c r="C86" s="1">
        <v>351.93</v>
      </c>
      <c r="D86" s="18" t="s">
        <v>225</v>
      </c>
      <c r="L86" t="s">
        <v>38</v>
      </c>
      <c r="M86" s="9" t="s">
        <v>7</v>
      </c>
      <c r="N86" s="1">
        <v>351.93</v>
      </c>
      <c r="O86" s="19" t="s">
        <v>178</v>
      </c>
    </row>
    <row r="87" spans="1:15" x14ac:dyDescent="0.3">
      <c r="B87" s="1"/>
      <c r="C87" s="1">
        <v>295.22000000000003</v>
      </c>
      <c r="M87" s="9"/>
      <c r="N87" s="1">
        <v>295.22000000000003</v>
      </c>
    </row>
    <row r="88" spans="1:15" x14ac:dyDescent="0.3">
      <c r="B88" s="1" t="s">
        <v>8</v>
      </c>
      <c r="C88" s="23">
        <v>609.32000000000005</v>
      </c>
      <c r="M88" s="9" t="s">
        <v>8</v>
      </c>
      <c r="N88" s="23">
        <v>609.32000000000005</v>
      </c>
    </row>
    <row r="89" spans="1:15" x14ac:dyDescent="0.3">
      <c r="B89" s="1"/>
      <c r="C89" s="1">
        <v>1764.49</v>
      </c>
      <c r="M89" s="9"/>
      <c r="N89" s="1">
        <v>1764.49</v>
      </c>
    </row>
    <row r="90" spans="1:15" x14ac:dyDescent="0.3">
      <c r="B90" s="1"/>
      <c r="C90" s="23">
        <v>1120.29</v>
      </c>
      <c r="M90" s="9"/>
      <c r="N90" s="9">
        <v>1120.29</v>
      </c>
    </row>
    <row r="91" spans="1:15" x14ac:dyDescent="0.3">
      <c r="B91" s="1" t="s">
        <v>9</v>
      </c>
      <c r="C91" s="1">
        <v>1460.82</v>
      </c>
      <c r="D91" s="18" t="s">
        <v>226</v>
      </c>
      <c r="M91" s="9" t="s">
        <v>9</v>
      </c>
      <c r="N91" s="9">
        <v>1460.82</v>
      </c>
      <c r="O91" s="18" t="s">
        <v>179</v>
      </c>
    </row>
    <row r="92" spans="1:15" x14ac:dyDescent="0.3">
      <c r="B92" s="1" t="s">
        <v>10</v>
      </c>
      <c r="C92" s="1">
        <v>238.63</v>
      </c>
      <c r="D92" s="18" t="s">
        <v>227</v>
      </c>
      <c r="M92" s="9" t="s">
        <v>10</v>
      </c>
      <c r="N92" s="9">
        <v>238.63</v>
      </c>
    </row>
    <row r="93" spans="1:15" x14ac:dyDescent="0.3">
      <c r="B93" s="1" t="s">
        <v>11</v>
      </c>
      <c r="C93" s="1">
        <v>911.21</v>
      </c>
      <c r="M93" s="9" t="s">
        <v>11</v>
      </c>
      <c r="N93" s="9">
        <v>911.21</v>
      </c>
    </row>
    <row r="94" spans="1:15" x14ac:dyDescent="0.3">
      <c r="B94" s="1"/>
      <c r="C94" s="1">
        <v>968.97</v>
      </c>
      <c r="M94" s="9"/>
      <c r="N94" s="9">
        <v>968.97</v>
      </c>
    </row>
    <row r="95" spans="1:15" x14ac:dyDescent="0.3">
      <c r="B95" s="1"/>
      <c r="C95" s="1">
        <v>338.32</v>
      </c>
      <c r="M95" s="9"/>
      <c r="N95" s="9">
        <v>338.32</v>
      </c>
    </row>
    <row r="96" spans="1:15" x14ac:dyDescent="0.3">
      <c r="B96" s="1" t="s">
        <v>12</v>
      </c>
      <c r="C96" s="1">
        <v>2614.5300000000002</v>
      </c>
      <c r="D96" s="18" t="s">
        <v>228</v>
      </c>
      <c r="M96" s="9" t="s">
        <v>12</v>
      </c>
      <c r="N96" s="23">
        <v>2614.5300000000002</v>
      </c>
    </row>
    <row r="97" spans="1:15" x14ac:dyDescent="0.3">
      <c r="B97" s="1"/>
      <c r="C97" s="1">
        <v>583.19000000000005</v>
      </c>
      <c r="M97" s="9"/>
      <c r="N97" s="9">
        <v>583.19000000000005</v>
      </c>
    </row>
    <row r="98" spans="1:15" x14ac:dyDescent="0.3">
      <c r="B98" s="1"/>
      <c r="C98" s="1">
        <v>510.77</v>
      </c>
      <c r="D98" s="19" t="s">
        <v>229</v>
      </c>
      <c r="M98" s="9"/>
      <c r="N98" s="23">
        <v>510.77</v>
      </c>
    </row>
    <row r="99" spans="1:15" x14ac:dyDescent="0.3">
      <c r="B99" s="1"/>
      <c r="C99" s="1">
        <v>860.56</v>
      </c>
      <c r="M99" s="9"/>
      <c r="N99" s="9">
        <v>860.56</v>
      </c>
    </row>
    <row r="100" spans="1:15" x14ac:dyDescent="0.3">
      <c r="A100" t="s">
        <v>188</v>
      </c>
      <c r="B100" s="1" t="s">
        <v>7</v>
      </c>
      <c r="C100" s="1">
        <v>351.93</v>
      </c>
      <c r="D100" s="18" t="s">
        <v>189</v>
      </c>
      <c r="L100" t="s">
        <v>39</v>
      </c>
      <c r="M100" s="1" t="s">
        <v>7</v>
      </c>
      <c r="N100" s="1">
        <v>351.93</v>
      </c>
      <c r="O100" s="19" t="s">
        <v>180</v>
      </c>
    </row>
    <row r="101" spans="1:15" x14ac:dyDescent="0.3">
      <c r="B101" s="1"/>
      <c r="C101" s="1">
        <v>295.22000000000003</v>
      </c>
      <c r="D101" s="19" t="s">
        <v>190</v>
      </c>
      <c r="M101" s="1"/>
      <c r="N101" s="1">
        <v>295.22000000000003</v>
      </c>
    </row>
    <row r="102" spans="1:15" x14ac:dyDescent="0.3">
      <c r="B102" s="1" t="s">
        <v>8</v>
      </c>
      <c r="C102" s="1">
        <v>609.32000000000005</v>
      </c>
      <c r="M102" s="1" t="s">
        <v>8</v>
      </c>
      <c r="N102" s="1">
        <v>609.32000000000005</v>
      </c>
    </row>
    <row r="103" spans="1:15" x14ac:dyDescent="0.3">
      <c r="B103" s="1"/>
      <c r="C103" s="1">
        <v>1764.49</v>
      </c>
      <c r="M103" s="1"/>
      <c r="N103" s="1">
        <v>1764.49</v>
      </c>
    </row>
    <row r="104" spans="1:15" x14ac:dyDescent="0.3">
      <c r="B104" s="1"/>
      <c r="C104" s="1">
        <v>1120.29</v>
      </c>
      <c r="M104" s="1"/>
      <c r="N104" s="1">
        <v>1120.29</v>
      </c>
    </row>
    <row r="105" spans="1:15" x14ac:dyDescent="0.3">
      <c r="B105" s="1" t="s">
        <v>9</v>
      </c>
      <c r="C105" s="1">
        <v>1460.82</v>
      </c>
      <c r="D105" s="18" t="s">
        <v>191</v>
      </c>
      <c r="M105" s="1" t="s">
        <v>9</v>
      </c>
      <c r="N105" s="1">
        <v>1460.82</v>
      </c>
      <c r="O105" s="18" t="s">
        <v>181</v>
      </c>
    </row>
    <row r="106" spans="1:15" x14ac:dyDescent="0.3">
      <c r="B106" s="1" t="s">
        <v>10</v>
      </c>
      <c r="C106" s="1">
        <v>238.63</v>
      </c>
      <c r="D106" s="18" t="s">
        <v>192</v>
      </c>
      <c r="M106" s="1" t="s">
        <v>10</v>
      </c>
      <c r="N106" s="1">
        <v>238.63</v>
      </c>
      <c r="O106" s="19" t="s">
        <v>182</v>
      </c>
    </row>
    <row r="107" spans="1:15" x14ac:dyDescent="0.3">
      <c r="B107" s="1" t="s">
        <v>11</v>
      </c>
      <c r="C107" s="1">
        <v>911.21</v>
      </c>
      <c r="M107" s="1" t="s">
        <v>11</v>
      </c>
      <c r="N107" s="1">
        <v>911.21</v>
      </c>
    </row>
    <row r="108" spans="1:15" x14ac:dyDescent="0.3">
      <c r="B108" s="1"/>
      <c r="C108" s="1">
        <v>968.97</v>
      </c>
      <c r="M108" s="1"/>
      <c r="N108" s="1">
        <v>968.97</v>
      </c>
      <c r="O108" s="18"/>
    </row>
    <row r="109" spans="1:15" x14ac:dyDescent="0.3">
      <c r="B109" s="1"/>
      <c r="C109" s="1">
        <v>338.32</v>
      </c>
      <c r="M109" s="1"/>
      <c r="N109" s="1">
        <v>338.32</v>
      </c>
    </row>
    <row r="110" spans="1:15" x14ac:dyDescent="0.3">
      <c r="B110" s="1" t="s">
        <v>12</v>
      </c>
      <c r="C110" s="1">
        <v>2614.5300000000002</v>
      </c>
      <c r="D110" s="18" t="s">
        <v>193</v>
      </c>
      <c r="M110" s="1" t="s">
        <v>12</v>
      </c>
      <c r="N110" s="1">
        <v>2614.5300000000002</v>
      </c>
      <c r="O110" s="18" t="s">
        <v>183</v>
      </c>
    </row>
    <row r="111" spans="1:15" x14ac:dyDescent="0.3">
      <c r="B111" s="1"/>
      <c r="C111" s="1">
        <v>583.19000000000005</v>
      </c>
      <c r="M111" s="1"/>
      <c r="N111" s="1">
        <v>583.19000000000005</v>
      </c>
    </row>
    <row r="112" spans="1:15" x14ac:dyDescent="0.3">
      <c r="B112" s="1"/>
      <c r="C112" s="1">
        <v>510.77</v>
      </c>
      <c r="D112" s="18" t="s">
        <v>194</v>
      </c>
      <c r="M112" s="1"/>
      <c r="N112" s="23">
        <v>510.77</v>
      </c>
    </row>
    <row r="113" spans="1:15" x14ac:dyDescent="0.3">
      <c r="B113" s="1"/>
      <c r="C113" s="1">
        <v>860.56</v>
      </c>
      <c r="M113" s="1"/>
      <c r="N113" s="1">
        <v>860.56</v>
      </c>
    </row>
    <row r="114" spans="1:15" x14ac:dyDescent="0.3">
      <c r="A114" t="s">
        <v>195</v>
      </c>
      <c r="B114" s="1" t="s">
        <v>7</v>
      </c>
      <c r="C114" s="1">
        <v>351.93</v>
      </c>
      <c r="L114" t="s">
        <v>40</v>
      </c>
      <c r="M114" s="1" t="s">
        <v>7</v>
      </c>
      <c r="N114" s="1">
        <v>351.93</v>
      </c>
    </row>
    <row r="115" spans="1:15" x14ac:dyDescent="0.3">
      <c r="B115" s="1"/>
      <c r="C115" s="1">
        <v>295.22000000000003</v>
      </c>
      <c r="M115" s="1"/>
      <c r="N115" s="23">
        <v>295.22000000000003</v>
      </c>
    </row>
    <row r="116" spans="1:15" x14ac:dyDescent="0.3">
      <c r="B116" s="1" t="s">
        <v>8</v>
      </c>
      <c r="C116" s="1">
        <v>609.32000000000005</v>
      </c>
      <c r="M116" s="1" t="s">
        <v>8</v>
      </c>
      <c r="N116" s="1">
        <v>609.32000000000005</v>
      </c>
    </row>
    <row r="117" spans="1:15" x14ac:dyDescent="0.3">
      <c r="B117" s="1"/>
      <c r="C117" s="1">
        <v>1764.49</v>
      </c>
      <c r="M117" s="1"/>
      <c r="N117" s="1">
        <v>1764.49</v>
      </c>
    </row>
    <row r="118" spans="1:15" x14ac:dyDescent="0.3">
      <c r="B118" s="1"/>
      <c r="C118" s="1">
        <v>1120.29</v>
      </c>
      <c r="M118" s="1"/>
      <c r="N118" s="1">
        <v>1120.29</v>
      </c>
    </row>
    <row r="119" spans="1:15" x14ac:dyDescent="0.3">
      <c r="B119" s="1" t="s">
        <v>9</v>
      </c>
      <c r="C119" s="1">
        <v>1460.82</v>
      </c>
      <c r="D119" s="19" t="s">
        <v>196</v>
      </c>
      <c r="M119" s="1" t="s">
        <v>9</v>
      </c>
      <c r="N119" s="1">
        <v>1460.82</v>
      </c>
      <c r="O119" s="18" t="s">
        <v>184</v>
      </c>
    </row>
    <row r="120" spans="1:15" x14ac:dyDescent="0.3">
      <c r="B120" s="1" t="s">
        <v>10</v>
      </c>
      <c r="C120" s="1">
        <v>238.63</v>
      </c>
      <c r="D120" s="18" t="s">
        <v>197</v>
      </c>
      <c r="M120" s="1" t="s">
        <v>10</v>
      </c>
      <c r="N120" s="1">
        <v>238.63</v>
      </c>
      <c r="O120" s="19" t="s">
        <v>185</v>
      </c>
    </row>
    <row r="121" spans="1:15" x14ac:dyDescent="0.3">
      <c r="B121" s="1" t="s">
        <v>11</v>
      </c>
      <c r="C121" s="1">
        <v>911.21</v>
      </c>
      <c r="M121" s="1" t="s">
        <v>11</v>
      </c>
      <c r="N121" s="1">
        <v>911.21</v>
      </c>
    </row>
    <row r="122" spans="1:15" x14ac:dyDescent="0.3">
      <c r="B122" s="1"/>
      <c r="C122" s="1">
        <v>968.97</v>
      </c>
      <c r="M122" s="1"/>
      <c r="N122" s="1">
        <v>968.97</v>
      </c>
    </row>
    <row r="123" spans="1:15" x14ac:dyDescent="0.3">
      <c r="B123" s="1"/>
      <c r="C123" s="1">
        <v>338.32</v>
      </c>
      <c r="M123" s="1"/>
      <c r="N123" s="1">
        <v>338.32</v>
      </c>
    </row>
    <row r="124" spans="1:15" x14ac:dyDescent="0.3">
      <c r="B124" s="1" t="s">
        <v>12</v>
      </c>
      <c r="C124" s="1">
        <v>2614.5300000000002</v>
      </c>
      <c r="D124" s="18" t="s">
        <v>198</v>
      </c>
      <c r="M124" s="1" t="s">
        <v>12</v>
      </c>
      <c r="N124" s="1">
        <v>2614.5300000000002</v>
      </c>
      <c r="O124" s="18" t="s">
        <v>186</v>
      </c>
    </row>
    <row r="125" spans="1:15" x14ac:dyDescent="0.3">
      <c r="B125" s="1"/>
      <c r="C125" s="1">
        <v>583.19000000000005</v>
      </c>
      <c r="D125" s="19" t="s">
        <v>199</v>
      </c>
      <c r="M125" s="1"/>
      <c r="N125" s="1">
        <v>583.19000000000005</v>
      </c>
    </row>
    <row r="126" spans="1:15" x14ac:dyDescent="0.3">
      <c r="B126" s="1"/>
      <c r="C126" s="1">
        <v>510.77</v>
      </c>
      <c r="D126" s="18" t="s">
        <v>200</v>
      </c>
      <c r="M126" s="1"/>
      <c r="N126" s="1">
        <v>510.77</v>
      </c>
      <c r="O126" s="18" t="s">
        <v>187</v>
      </c>
    </row>
    <row r="127" spans="1:15" x14ac:dyDescent="0.3">
      <c r="B127" s="1"/>
      <c r="C127" s="1">
        <v>860.56</v>
      </c>
      <c r="M127" s="1"/>
      <c r="N127" s="1">
        <v>860.56</v>
      </c>
    </row>
    <row r="128" spans="1:15" x14ac:dyDescent="0.3">
      <c r="A128" s="24" t="s">
        <v>195</v>
      </c>
      <c r="B128" s="1" t="s">
        <v>7</v>
      </c>
      <c r="C128" s="1">
        <v>351.93</v>
      </c>
      <c r="L128" t="s">
        <v>188</v>
      </c>
      <c r="M128" s="1" t="s">
        <v>7</v>
      </c>
      <c r="N128" s="1">
        <v>351.93</v>
      </c>
      <c r="O128" s="18" t="s">
        <v>189</v>
      </c>
    </row>
    <row r="129" spans="1:15" x14ac:dyDescent="0.3">
      <c r="B129" s="1"/>
      <c r="C129" s="1">
        <v>295.22000000000003</v>
      </c>
      <c r="M129" s="1"/>
      <c r="N129" s="1">
        <v>295.22000000000003</v>
      </c>
      <c r="O129" s="19" t="s">
        <v>190</v>
      </c>
    </row>
    <row r="130" spans="1:15" x14ac:dyDescent="0.3">
      <c r="B130" s="1" t="s">
        <v>8</v>
      </c>
      <c r="C130" s="1">
        <v>609.32000000000005</v>
      </c>
      <c r="D130" s="18" t="s">
        <v>201</v>
      </c>
      <c r="M130" s="1" t="s">
        <v>8</v>
      </c>
      <c r="N130" s="1">
        <v>609.32000000000005</v>
      </c>
    </row>
    <row r="131" spans="1:15" x14ac:dyDescent="0.3">
      <c r="B131" s="1"/>
      <c r="C131" s="1">
        <v>1764.49</v>
      </c>
      <c r="M131" s="1"/>
      <c r="N131" s="1">
        <v>1764.49</v>
      </c>
    </row>
    <row r="132" spans="1:15" x14ac:dyDescent="0.3">
      <c r="B132" s="1"/>
      <c r="C132" s="1">
        <v>1120.29</v>
      </c>
      <c r="M132" s="1"/>
      <c r="N132" s="1">
        <v>1120.29</v>
      </c>
    </row>
    <row r="133" spans="1:15" x14ac:dyDescent="0.3">
      <c r="B133" s="1" t="s">
        <v>9</v>
      </c>
      <c r="C133" s="1">
        <v>1460.82</v>
      </c>
      <c r="M133" s="1" t="s">
        <v>9</v>
      </c>
      <c r="N133" s="1">
        <v>1460.82</v>
      </c>
      <c r="O133" s="18" t="s">
        <v>191</v>
      </c>
    </row>
    <row r="134" spans="1:15" x14ac:dyDescent="0.3">
      <c r="B134" s="1" t="s">
        <v>10</v>
      </c>
      <c r="C134" s="1">
        <v>238.63</v>
      </c>
      <c r="D134" s="19" t="s">
        <v>202</v>
      </c>
      <c r="M134" s="1" t="s">
        <v>10</v>
      </c>
      <c r="N134" s="1">
        <v>238.63</v>
      </c>
      <c r="O134" s="18" t="s">
        <v>192</v>
      </c>
    </row>
    <row r="135" spans="1:15" x14ac:dyDescent="0.3">
      <c r="B135" s="1" t="s">
        <v>11</v>
      </c>
      <c r="C135" s="1">
        <v>911.21</v>
      </c>
      <c r="D135" s="18" t="s">
        <v>203</v>
      </c>
      <c r="M135" s="1" t="s">
        <v>11</v>
      </c>
      <c r="N135" s="1">
        <v>911.21</v>
      </c>
    </row>
    <row r="136" spans="1:15" x14ac:dyDescent="0.3">
      <c r="B136" s="1"/>
      <c r="C136" s="1">
        <v>968.97</v>
      </c>
      <c r="M136" s="1"/>
      <c r="N136" s="1">
        <v>968.97</v>
      </c>
    </row>
    <row r="137" spans="1:15" x14ac:dyDescent="0.3">
      <c r="B137" s="1"/>
      <c r="C137" s="1">
        <v>338.32</v>
      </c>
      <c r="M137" s="1"/>
      <c r="N137" s="1">
        <v>338.32</v>
      </c>
    </row>
    <row r="138" spans="1:15" x14ac:dyDescent="0.3">
      <c r="B138" s="1" t="s">
        <v>12</v>
      </c>
      <c r="C138" s="1">
        <v>2614.5300000000002</v>
      </c>
      <c r="M138" s="1" t="s">
        <v>12</v>
      </c>
      <c r="N138" s="1">
        <v>2614.5300000000002</v>
      </c>
      <c r="O138" s="18" t="s">
        <v>193</v>
      </c>
    </row>
    <row r="139" spans="1:15" x14ac:dyDescent="0.3">
      <c r="B139" s="1"/>
      <c r="C139" s="1">
        <v>583.19000000000005</v>
      </c>
      <c r="M139" s="1"/>
      <c r="N139" s="1">
        <v>583.19000000000005</v>
      </c>
    </row>
    <row r="140" spans="1:15" x14ac:dyDescent="0.3">
      <c r="B140" s="1"/>
      <c r="C140" s="1">
        <v>510.77</v>
      </c>
      <c r="D140" s="18" t="s">
        <v>204</v>
      </c>
      <c r="M140" s="1"/>
      <c r="N140" s="1">
        <v>510.77</v>
      </c>
      <c r="O140" s="18" t="s">
        <v>194</v>
      </c>
    </row>
    <row r="141" spans="1:15" x14ac:dyDescent="0.3">
      <c r="B141" s="1"/>
      <c r="C141" s="1">
        <v>860.56</v>
      </c>
      <c r="D141" s="18" t="s">
        <v>205</v>
      </c>
      <c r="M141" s="1"/>
      <c r="N141" s="1">
        <v>860.56</v>
      </c>
    </row>
    <row r="142" spans="1:15" x14ac:dyDescent="0.3">
      <c r="B142" s="1"/>
      <c r="C142" s="1">
        <v>860.56</v>
      </c>
      <c r="D142" s="18" t="s">
        <v>206</v>
      </c>
      <c r="L142" t="s">
        <v>195</v>
      </c>
      <c r="M142" s="1" t="s">
        <v>7</v>
      </c>
      <c r="N142" s="1">
        <v>351.93</v>
      </c>
    </row>
    <row r="143" spans="1:15" x14ac:dyDescent="0.3">
      <c r="A143" t="s">
        <v>207</v>
      </c>
      <c r="B143" s="1" t="s">
        <v>7</v>
      </c>
      <c r="C143" s="1">
        <v>351.93</v>
      </c>
      <c r="D143" s="19"/>
      <c r="M143" s="1"/>
      <c r="N143" s="1">
        <v>295.22000000000003</v>
      </c>
    </row>
    <row r="144" spans="1:15" x14ac:dyDescent="0.3">
      <c r="B144" s="1"/>
      <c r="C144" s="1">
        <v>295.22000000000003</v>
      </c>
      <c r="M144" s="1" t="s">
        <v>8</v>
      </c>
      <c r="N144" s="1">
        <v>609.32000000000005</v>
      </c>
    </row>
    <row r="145" spans="1:15" x14ac:dyDescent="0.3">
      <c r="B145" s="1" t="s">
        <v>8</v>
      </c>
      <c r="C145" s="1">
        <v>609.32000000000005</v>
      </c>
      <c r="M145" s="1"/>
      <c r="N145" s="1">
        <v>1764.49</v>
      </c>
    </row>
    <row r="146" spans="1:15" x14ac:dyDescent="0.3">
      <c r="B146" s="1"/>
      <c r="C146" s="1">
        <v>1764.49</v>
      </c>
      <c r="M146" s="1"/>
      <c r="N146" s="1">
        <v>1120.29</v>
      </c>
    </row>
    <row r="147" spans="1:15" x14ac:dyDescent="0.3">
      <c r="B147" s="1"/>
      <c r="C147" s="1">
        <v>1120.29</v>
      </c>
      <c r="M147" s="1" t="s">
        <v>9</v>
      </c>
      <c r="N147" s="1">
        <v>1460.82</v>
      </c>
      <c r="O147" s="19" t="s">
        <v>196</v>
      </c>
    </row>
    <row r="148" spans="1:15" x14ac:dyDescent="0.3">
      <c r="B148" s="1" t="s">
        <v>9</v>
      </c>
      <c r="C148" s="1">
        <v>1460.82</v>
      </c>
      <c r="D148" s="19" t="s">
        <v>208</v>
      </c>
      <c r="M148" s="1" t="s">
        <v>10</v>
      </c>
      <c r="N148" s="1">
        <v>238.63</v>
      </c>
      <c r="O148" s="18" t="s">
        <v>197</v>
      </c>
    </row>
    <row r="149" spans="1:15" x14ac:dyDescent="0.3">
      <c r="B149" s="1" t="s">
        <v>10</v>
      </c>
      <c r="C149" s="1">
        <v>238.63</v>
      </c>
      <c r="D149" s="19"/>
      <c r="M149" s="1" t="s">
        <v>11</v>
      </c>
      <c r="N149" s="1">
        <v>911.21</v>
      </c>
    </row>
    <row r="150" spans="1:15" x14ac:dyDescent="0.3">
      <c r="B150" s="1" t="s">
        <v>11</v>
      </c>
      <c r="C150" s="1">
        <v>911.21</v>
      </c>
      <c r="D150" s="19"/>
      <c r="M150" s="1"/>
      <c r="N150" s="1">
        <v>968.97</v>
      </c>
    </row>
    <row r="151" spans="1:15" x14ac:dyDescent="0.3">
      <c r="B151" s="1"/>
      <c r="C151" s="1">
        <v>968.97</v>
      </c>
      <c r="M151" s="1"/>
      <c r="N151" s="1">
        <v>338.32</v>
      </c>
    </row>
    <row r="152" spans="1:15" x14ac:dyDescent="0.3">
      <c r="B152" s="1"/>
      <c r="C152" s="1">
        <v>338.32</v>
      </c>
      <c r="M152" s="1" t="s">
        <v>12</v>
      </c>
      <c r="N152" s="1">
        <v>2614.5300000000002</v>
      </c>
      <c r="O152" s="18" t="s">
        <v>198</v>
      </c>
    </row>
    <row r="153" spans="1:15" x14ac:dyDescent="0.3">
      <c r="B153" s="1" t="s">
        <v>12</v>
      </c>
      <c r="C153" s="1">
        <v>2614.5300000000002</v>
      </c>
      <c r="D153" s="18" t="s">
        <v>209</v>
      </c>
      <c r="M153" s="1"/>
      <c r="N153" s="1">
        <v>583.19000000000005</v>
      </c>
      <c r="O153" s="19" t="s">
        <v>199</v>
      </c>
    </row>
    <row r="154" spans="1:15" x14ac:dyDescent="0.3">
      <c r="B154" s="1"/>
      <c r="C154" s="1">
        <v>583.19000000000005</v>
      </c>
      <c r="M154" s="1"/>
      <c r="N154" s="1">
        <v>510.77</v>
      </c>
      <c r="O154" s="18" t="s">
        <v>200</v>
      </c>
    </row>
    <row r="155" spans="1:15" x14ac:dyDescent="0.3">
      <c r="B155" s="1"/>
      <c r="C155" s="1">
        <v>510.77</v>
      </c>
      <c r="D155" s="19" t="s">
        <v>210</v>
      </c>
      <c r="M155" s="1"/>
      <c r="N155" s="1">
        <v>860.56</v>
      </c>
    </row>
    <row r="156" spans="1:15" x14ac:dyDescent="0.3">
      <c r="B156" s="1"/>
      <c r="C156" s="1">
        <v>860.56</v>
      </c>
      <c r="L156" t="s">
        <v>41</v>
      </c>
      <c r="M156" s="1" t="s">
        <v>7</v>
      </c>
      <c r="N156" s="1">
        <v>351.93</v>
      </c>
      <c r="O156" t="s">
        <v>220</v>
      </c>
    </row>
    <row r="157" spans="1:15" x14ac:dyDescent="0.3">
      <c r="A157" t="s">
        <v>211</v>
      </c>
      <c r="B157" s="1" t="s">
        <v>7</v>
      </c>
      <c r="C157" s="1">
        <v>351.93</v>
      </c>
      <c r="D157" s="18" t="s">
        <v>212</v>
      </c>
      <c r="M157" s="1"/>
      <c r="N157" s="1">
        <v>295.22000000000003</v>
      </c>
    </row>
    <row r="158" spans="1:15" x14ac:dyDescent="0.3">
      <c r="B158" s="1"/>
      <c r="C158" s="1">
        <v>295.22000000000003</v>
      </c>
      <c r="D158" s="18" t="s">
        <v>213</v>
      </c>
      <c r="M158" s="1" t="s">
        <v>8</v>
      </c>
      <c r="N158" s="1">
        <v>609.32000000000005</v>
      </c>
    </row>
    <row r="159" spans="1:15" x14ac:dyDescent="0.3">
      <c r="B159" s="1" t="s">
        <v>8</v>
      </c>
      <c r="C159" s="1">
        <v>609.32000000000005</v>
      </c>
      <c r="M159" s="1"/>
      <c r="N159" s="1">
        <v>1764.49</v>
      </c>
    </row>
    <row r="160" spans="1:15" x14ac:dyDescent="0.3">
      <c r="B160" s="1"/>
      <c r="C160" s="1">
        <v>1764.49</v>
      </c>
      <c r="M160" s="1"/>
      <c r="N160" s="1">
        <v>1120.29</v>
      </c>
    </row>
    <row r="161" spans="1:15" x14ac:dyDescent="0.3">
      <c r="B161" s="1"/>
      <c r="C161" s="1">
        <v>1120.29</v>
      </c>
      <c r="M161" s="1" t="s">
        <v>9</v>
      </c>
      <c r="N161" s="1">
        <v>1460.82</v>
      </c>
      <c r="O161" s="19" t="s">
        <v>221</v>
      </c>
    </row>
    <row r="162" spans="1:15" x14ac:dyDescent="0.3">
      <c r="B162" s="1" t="s">
        <v>9</v>
      </c>
      <c r="C162" s="1">
        <v>1460.82</v>
      </c>
      <c r="D162" s="18" t="s">
        <v>214</v>
      </c>
      <c r="M162" s="1" t="s">
        <v>10</v>
      </c>
      <c r="N162" s="23">
        <v>238.63</v>
      </c>
    </row>
    <row r="163" spans="1:15" x14ac:dyDescent="0.3">
      <c r="B163" s="1" t="s">
        <v>10</v>
      </c>
      <c r="C163" s="1">
        <v>238.63</v>
      </c>
      <c r="D163" s="18" t="s">
        <v>215</v>
      </c>
      <c r="M163" s="1" t="s">
        <v>11</v>
      </c>
      <c r="N163" s="1">
        <v>911.21</v>
      </c>
    </row>
    <row r="164" spans="1:15" x14ac:dyDescent="0.3">
      <c r="B164" s="1" t="s">
        <v>11</v>
      </c>
      <c r="C164" s="1">
        <v>911.21</v>
      </c>
      <c r="M164" s="1"/>
      <c r="N164" s="1">
        <v>968.97</v>
      </c>
    </row>
    <row r="165" spans="1:15" x14ac:dyDescent="0.3">
      <c r="B165" s="1"/>
      <c r="C165" s="1">
        <v>968.97</v>
      </c>
      <c r="M165" s="1"/>
      <c r="N165" s="1">
        <v>338.32</v>
      </c>
    </row>
    <row r="166" spans="1:15" x14ac:dyDescent="0.3">
      <c r="B166" s="1"/>
      <c r="C166" s="1">
        <v>338.32</v>
      </c>
      <c r="M166" s="1" t="s">
        <v>12</v>
      </c>
      <c r="N166" s="1">
        <v>2614.5300000000002</v>
      </c>
      <c r="O166" s="18" t="s">
        <v>222</v>
      </c>
    </row>
    <row r="167" spans="1:15" x14ac:dyDescent="0.3">
      <c r="B167" s="1" t="s">
        <v>12</v>
      </c>
      <c r="C167" s="1">
        <v>2614.5300000000002</v>
      </c>
      <c r="M167" s="1"/>
      <c r="N167" s="1">
        <v>583.19000000000005</v>
      </c>
      <c r="O167" s="18" t="s">
        <v>223</v>
      </c>
    </row>
    <row r="168" spans="1:15" x14ac:dyDescent="0.3">
      <c r="B168" s="1"/>
      <c r="C168" s="1">
        <v>583.19000000000005</v>
      </c>
      <c r="M168" s="1"/>
      <c r="N168" s="1">
        <v>510.77</v>
      </c>
      <c r="O168" s="18" t="s">
        <v>224</v>
      </c>
    </row>
    <row r="169" spans="1:15" x14ac:dyDescent="0.3">
      <c r="B169" s="1"/>
      <c r="C169" s="1">
        <v>510.77</v>
      </c>
      <c r="D169" s="18"/>
      <c r="M169" s="1"/>
      <c r="N169" s="1">
        <v>860.56</v>
      </c>
    </row>
    <row r="170" spans="1:15" x14ac:dyDescent="0.3">
      <c r="B170" s="1"/>
      <c r="C170" s="1">
        <v>860.56</v>
      </c>
      <c r="L170" t="s">
        <v>42</v>
      </c>
      <c r="M170" s="1" t="s">
        <v>7</v>
      </c>
      <c r="N170" s="1">
        <v>351.93</v>
      </c>
      <c r="O170" s="18" t="s">
        <v>225</v>
      </c>
    </row>
    <row r="171" spans="1:15" x14ac:dyDescent="0.3">
      <c r="A171" t="s">
        <v>216</v>
      </c>
      <c r="B171" s="1" t="s">
        <v>7</v>
      </c>
      <c r="C171" s="1">
        <v>351.93</v>
      </c>
      <c r="D171" s="19" t="s">
        <v>217</v>
      </c>
      <c r="M171" s="1"/>
      <c r="N171" s="1">
        <v>295.22000000000003</v>
      </c>
    </row>
    <row r="172" spans="1:15" x14ac:dyDescent="0.3">
      <c r="B172" s="1"/>
      <c r="C172" s="1">
        <v>295.22000000000003</v>
      </c>
      <c r="M172" s="1" t="s">
        <v>8</v>
      </c>
      <c r="N172" s="23">
        <v>609.32000000000005</v>
      </c>
    </row>
    <row r="173" spans="1:15" x14ac:dyDescent="0.3">
      <c r="B173" s="1" t="s">
        <v>8</v>
      </c>
      <c r="C173" s="1">
        <v>609.32000000000005</v>
      </c>
      <c r="D173" s="18"/>
      <c r="M173" s="1"/>
      <c r="N173" s="1">
        <v>1764.49</v>
      </c>
    </row>
    <row r="174" spans="1:15" x14ac:dyDescent="0.3">
      <c r="B174" s="1"/>
      <c r="C174" s="1">
        <v>1764.49</v>
      </c>
      <c r="M174" s="1"/>
      <c r="N174" s="23">
        <v>1120.29</v>
      </c>
    </row>
    <row r="175" spans="1:15" x14ac:dyDescent="0.3">
      <c r="B175" s="1"/>
      <c r="C175" s="1">
        <v>1120.29</v>
      </c>
      <c r="M175" s="1" t="s">
        <v>9</v>
      </c>
      <c r="N175" s="1">
        <v>1460.82</v>
      </c>
      <c r="O175" s="18" t="s">
        <v>226</v>
      </c>
    </row>
    <row r="176" spans="1:15" x14ac:dyDescent="0.3">
      <c r="B176" s="1" t="s">
        <v>9</v>
      </c>
      <c r="C176" s="1">
        <v>1460.82</v>
      </c>
      <c r="D176" s="18" t="s">
        <v>218</v>
      </c>
      <c r="M176" s="1" t="s">
        <v>10</v>
      </c>
      <c r="N176" s="1">
        <v>238.63</v>
      </c>
      <c r="O176" s="18" t="s">
        <v>227</v>
      </c>
    </row>
    <row r="177" spans="1:15" x14ac:dyDescent="0.3">
      <c r="B177" s="1" t="s">
        <v>10</v>
      </c>
      <c r="C177" s="1">
        <v>238.63</v>
      </c>
      <c r="D177" s="19" t="s">
        <v>219</v>
      </c>
      <c r="M177" s="1" t="s">
        <v>11</v>
      </c>
      <c r="N177" s="1">
        <v>911.21</v>
      </c>
    </row>
    <row r="178" spans="1:15" x14ac:dyDescent="0.3">
      <c r="B178" s="1" t="s">
        <v>11</v>
      </c>
      <c r="C178" s="1">
        <v>911.21</v>
      </c>
      <c r="M178" s="1"/>
      <c r="N178" s="1">
        <v>968.97</v>
      </c>
    </row>
    <row r="179" spans="1:15" x14ac:dyDescent="0.3">
      <c r="B179" s="1"/>
      <c r="C179" s="1">
        <v>968.97</v>
      </c>
      <c r="M179" s="1"/>
      <c r="N179" s="1">
        <v>338.32</v>
      </c>
    </row>
    <row r="180" spans="1:15" x14ac:dyDescent="0.3">
      <c r="B180" s="1"/>
      <c r="C180" s="1">
        <v>338.32</v>
      </c>
      <c r="M180" s="1" t="s">
        <v>12</v>
      </c>
      <c r="N180" s="1">
        <v>2614.5300000000002</v>
      </c>
      <c r="O180" s="18" t="s">
        <v>228</v>
      </c>
    </row>
    <row r="181" spans="1:15" x14ac:dyDescent="0.3">
      <c r="B181" s="1" t="s">
        <v>12</v>
      </c>
      <c r="C181" s="1">
        <v>2614.5300000000002</v>
      </c>
      <c r="M181" s="1"/>
      <c r="N181" s="1">
        <v>583.19000000000005</v>
      </c>
    </row>
    <row r="182" spans="1:15" x14ac:dyDescent="0.3">
      <c r="B182" s="1"/>
      <c r="C182" s="1">
        <v>583.19000000000005</v>
      </c>
      <c r="M182" s="1"/>
      <c r="N182" s="1">
        <v>510.77</v>
      </c>
      <c r="O182" s="19" t="s">
        <v>229</v>
      </c>
    </row>
    <row r="183" spans="1:15" x14ac:dyDescent="0.3">
      <c r="B183" s="1"/>
      <c r="C183" s="1">
        <v>510.77</v>
      </c>
      <c r="D183" s="18"/>
      <c r="M183" s="1"/>
      <c r="N183" s="1">
        <v>860.56</v>
      </c>
    </row>
    <row r="184" spans="1:15" x14ac:dyDescent="0.3">
      <c r="B184" s="1"/>
      <c r="C184" s="1">
        <v>860.56</v>
      </c>
    </row>
    <row r="185" spans="1:15" x14ac:dyDescent="0.3">
      <c r="A185" t="s">
        <v>230</v>
      </c>
      <c r="B185" s="1" t="s">
        <v>7</v>
      </c>
      <c r="C185" s="1">
        <v>351.93</v>
      </c>
    </row>
    <row r="186" spans="1:15" x14ac:dyDescent="0.3">
      <c r="B186" s="1"/>
      <c r="C186" s="1">
        <v>295.22000000000003</v>
      </c>
    </row>
    <row r="187" spans="1:15" x14ac:dyDescent="0.3">
      <c r="B187" s="1" t="s">
        <v>8</v>
      </c>
      <c r="C187" s="1">
        <v>609.32000000000005</v>
      </c>
    </row>
    <row r="188" spans="1:15" x14ac:dyDescent="0.3">
      <c r="B188" s="1"/>
      <c r="C188" s="1">
        <v>1764.49</v>
      </c>
    </row>
    <row r="189" spans="1:15" x14ac:dyDescent="0.3">
      <c r="B189" s="1"/>
      <c r="C189" s="1">
        <v>1120.29</v>
      </c>
    </row>
    <row r="190" spans="1:15" x14ac:dyDescent="0.3">
      <c r="B190" s="1" t="s">
        <v>9</v>
      </c>
      <c r="C190" s="1">
        <v>1460.82</v>
      </c>
      <c r="D190" t="s">
        <v>202</v>
      </c>
    </row>
    <row r="191" spans="1:15" x14ac:dyDescent="0.3">
      <c r="B191" s="1" t="s">
        <v>10</v>
      </c>
      <c r="C191" s="1">
        <v>238.63</v>
      </c>
      <c r="D191" t="s">
        <v>203</v>
      </c>
    </row>
    <row r="192" spans="1:15" x14ac:dyDescent="0.3">
      <c r="B192" s="1" t="s">
        <v>11</v>
      </c>
      <c r="C192" s="1">
        <v>911.21</v>
      </c>
    </row>
    <row r="193" spans="2:4" x14ac:dyDescent="0.3">
      <c r="B193" s="1"/>
      <c r="C193" s="1">
        <v>968.97</v>
      </c>
    </row>
    <row r="194" spans="2:4" x14ac:dyDescent="0.3">
      <c r="B194" s="1"/>
      <c r="C194" s="1">
        <v>338.32</v>
      </c>
    </row>
    <row r="195" spans="2:4" x14ac:dyDescent="0.3">
      <c r="B195" s="1" t="s">
        <v>12</v>
      </c>
      <c r="C195" s="1">
        <v>2614.5300000000002</v>
      </c>
      <c r="D195" t="s">
        <v>231</v>
      </c>
    </row>
    <row r="196" spans="2:4" x14ac:dyDescent="0.3">
      <c r="B196" s="1"/>
      <c r="C196" s="1">
        <v>583.19000000000005</v>
      </c>
      <c r="D196" t="s">
        <v>204</v>
      </c>
    </row>
    <row r="197" spans="2:4" x14ac:dyDescent="0.3">
      <c r="B197" s="1"/>
      <c r="C197" s="1">
        <v>510.77</v>
      </c>
      <c r="D197" t="s">
        <v>205</v>
      </c>
    </row>
    <row r="198" spans="2:4" x14ac:dyDescent="0.3">
      <c r="B198" s="1"/>
      <c r="C198" s="1">
        <v>860.56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CED7-6CD8-4940-86D1-F77FC96D2910}">
  <dimension ref="A1:H183"/>
  <sheetViews>
    <sheetView tabSelected="1" topLeftCell="A61" zoomScale="117" workbookViewId="0">
      <selection activeCell="D85" sqref="D85"/>
    </sheetView>
  </sheetViews>
  <sheetFormatPr defaultRowHeight="14.4" x14ac:dyDescent="0.3"/>
  <cols>
    <col min="4" max="4" width="12.21875" customWidth="1"/>
  </cols>
  <sheetData>
    <row r="1" spans="1:8" x14ac:dyDescent="0.3">
      <c r="A1" t="s">
        <v>35</v>
      </c>
      <c r="B1" s="8" t="s">
        <v>2</v>
      </c>
      <c r="C1" s="8" t="s">
        <v>3</v>
      </c>
      <c r="D1" s="8" t="s">
        <v>4</v>
      </c>
      <c r="E1" s="8" t="s">
        <v>6</v>
      </c>
      <c r="H1" s="36" t="s">
        <v>233</v>
      </c>
    </row>
    <row r="2" spans="1:8" x14ac:dyDescent="0.3">
      <c r="A2" t="s">
        <v>36</v>
      </c>
      <c r="B2" s="9" t="s">
        <v>7</v>
      </c>
      <c r="C2" s="23">
        <v>351.93</v>
      </c>
      <c r="H2">
        <f>MAX(D2:E2)</f>
        <v>0</v>
      </c>
    </row>
    <row r="3" spans="1:8" x14ac:dyDescent="0.3">
      <c r="B3" s="9"/>
      <c r="C3" s="9">
        <v>295.22000000000003</v>
      </c>
      <c r="H3">
        <f t="shared" ref="H3:H66" si="0">MAX(D3:E3)</f>
        <v>0</v>
      </c>
    </row>
    <row r="4" spans="1:8" x14ac:dyDescent="0.3">
      <c r="B4" s="9" t="s">
        <v>8</v>
      </c>
      <c r="C4" s="23">
        <v>609.32000000000005</v>
      </c>
      <c r="H4">
        <f t="shared" si="0"/>
        <v>0</v>
      </c>
    </row>
    <row r="5" spans="1:8" x14ac:dyDescent="0.3">
      <c r="B5" s="9"/>
      <c r="C5" s="23">
        <v>1764.49</v>
      </c>
      <c r="H5">
        <f t="shared" si="0"/>
        <v>0</v>
      </c>
    </row>
    <row r="6" spans="1:8" x14ac:dyDescent="0.3">
      <c r="B6" s="9"/>
      <c r="C6" s="9">
        <v>1120.29</v>
      </c>
      <c r="H6">
        <f t="shared" si="0"/>
        <v>0</v>
      </c>
    </row>
    <row r="7" spans="1:8" x14ac:dyDescent="0.3">
      <c r="B7" s="9" t="s">
        <v>9</v>
      </c>
      <c r="C7" s="9">
        <v>1460.82</v>
      </c>
      <c r="D7" s="32">
        <v>4.0533735200000004E-3</v>
      </c>
      <c r="E7" s="26">
        <v>1.3955899999999999E-3</v>
      </c>
      <c r="H7">
        <f t="shared" si="0"/>
        <v>4.0533735200000004E-3</v>
      </c>
    </row>
    <row r="8" spans="1:8" x14ac:dyDescent="0.3">
      <c r="B8" s="9" t="s">
        <v>10</v>
      </c>
      <c r="C8" s="9">
        <v>238.63</v>
      </c>
      <c r="H8">
        <f t="shared" si="0"/>
        <v>0</v>
      </c>
    </row>
    <row r="9" spans="1:8" x14ac:dyDescent="0.3">
      <c r="B9" s="9" t="s">
        <v>11</v>
      </c>
      <c r="C9" s="9">
        <v>911.21</v>
      </c>
      <c r="H9">
        <f t="shared" si="0"/>
        <v>0</v>
      </c>
    </row>
    <row r="10" spans="1:8" x14ac:dyDescent="0.3">
      <c r="B10" s="9"/>
      <c r="C10" s="9">
        <v>968.97</v>
      </c>
      <c r="H10">
        <f t="shared" si="0"/>
        <v>0</v>
      </c>
    </row>
    <row r="11" spans="1:8" x14ac:dyDescent="0.3">
      <c r="B11" s="9"/>
      <c r="C11" s="9">
        <v>338.32</v>
      </c>
      <c r="H11">
        <f t="shared" si="0"/>
        <v>0</v>
      </c>
    </row>
    <row r="12" spans="1:8" x14ac:dyDescent="0.3">
      <c r="B12" s="9" t="s">
        <v>12</v>
      </c>
      <c r="C12" s="9">
        <v>2614.5300000000002</v>
      </c>
      <c r="D12" s="32">
        <v>1.5048283799999999E-3</v>
      </c>
      <c r="E12" s="26">
        <v>1.25862E-3</v>
      </c>
      <c r="H12">
        <f t="shared" si="0"/>
        <v>1.5048283799999999E-3</v>
      </c>
    </row>
    <row r="13" spans="1:8" x14ac:dyDescent="0.3">
      <c r="B13" s="9"/>
      <c r="C13" s="9">
        <v>583.19000000000005</v>
      </c>
      <c r="H13">
        <f t="shared" si="0"/>
        <v>0</v>
      </c>
    </row>
    <row r="14" spans="1:8" x14ac:dyDescent="0.3">
      <c r="B14" s="9"/>
      <c r="C14" s="9">
        <v>510.77</v>
      </c>
      <c r="D14" s="25">
        <v>1.8020797000000001E-3</v>
      </c>
      <c r="E14" s="26">
        <v>3.1008799999999999E-3</v>
      </c>
      <c r="H14">
        <f t="shared" si="0"/>
        <v>3.1008799999999999E-3</v>
      </c>
    </row>
    <row r="15" spans="1:8" x14ac:dyDescent="0.3">
      <c r="B15" s="9"/>
      <c r="C15" s="9">
        <v>860.56</v>
      </c>
      <c r="H15">
        <f t="shared" si="0"/>
        <v>0</v>
      </c>
    </row>
    <row r="16" spans="1:8" x14ac:dyDescent="0.3">
      <c r="A16" t="s">
        <v>230</v>
      </c>
      <c r="B16" s="1" t="s">
        <v>7</v>
      </c>
      <c r="C16" s="1">
        <v>351.93</v>
      </c>
      <c r="H16">
        <f t="shared" si="0"/>
        <v>0</v>
      </c>
    </row>
    <row r="17" spans="1:8" x14ac:dyDescent="0.3">
      <c r="B17" s="1"/>
      <c r="C17" s="1">
        <v>295.22000000000003</v>
      </c>
      <c r="H17">
        <f t="shared" si="0"/>
        <v>0</v>
      </c>
    </row>
    <row r="18" spans="1:8" x14ac:dyDescent="0.3">
      <c r="B18" s="1" t="s">
        <v>8</v>
      </c>
      <c r="C18" s="1">
        <v>609.32000000000005</v>
      </c>
      <c r="H18">
        <f t="shared" si="0"/>
        <v>0</v>
      </c>
    </row>
    <row r="19" spans="1:8" x14ac:dyDescent="0.3">
      <c r="B19" s="1"/>
      <c r="C19" s="1">
        <v>1764.49</v>
      </c>
      <c r="H19">
        <f t="shared" si="0"/>
        <v>0</v>
      </c>
    </row>
    <row r="20" spans="1:8" x14ac:dyDescent="0.3">
      <c r="B20" s="1"/>
      <c r="C20" s="1">
        <v>1120.29</v>
      </c>
      <c r="H20">
        <f t="shared" si="0"/>
        <v>0</v>
      </c>
    </row>
    <row r="21" spans="1:8" x14ac:dyDescent="0.3">
      <c r="B21" s="1" t="s">
        <v>9</v>
      </c>
      <c r="C21" s="1">
        <v>1460.82</v>
      </c>
      <c r="D21" s="37">
        <v>5.8245669400000004E-3</v>
      </c>
      <c r="E21" s="26">
        <v>1.1588200000000001E-3</v>
      </c>
      <c r="H21">
        <f t="shared" si="0"/>
        <v>5.8245669400000004E-3</v>
      </c>
    </row>
    <row r="22" spans="1:8" x14ac:dyDescent="0.3">
      <c r="B22" s="1" t="s">
        <v>10</v>
      </c>
      <c r="C22" s="1">
        <v>238.63</v>
      </c>
      <c r="D22" s="37">
        <v>5.3830502700000001E-3</v>
      </c>
      <c r="E22" s="26">
        <v>2.774E-3</v>
      </c>
      <c r="H22">
        <f t="shared" si="0"/>
        <v>5.3830502700000001E-3</v>
      </c>
    </row>
    <row r="23" spans="1:8" x14ac:dyDescent="0.3">
      <c r="B23" s="1" t="s">
        <v>11</v>
      </c>
      <c r="C23" s="1">
        <v>911.21</v>
      </c>
      <c r="H23">
        <f t="shared" si="0"/>
        <v>0</v>
      </c>
    </row>
    <row r="24" spans="1:8" x14ac:dyDescent="0.3">
      <c r="B24" s="1"/>
      <c r="C24" s="1">
        <v>968.97</v>
      </c>
      <c r="H24">
        <f t="shared" si="0"/>
        <v>0</v>
      </c>
    </row>
    <row r="25" spans="1:8" x14ac:dyDescent="0.3">
      <c r="B25" s="1"/>
      <c r="C25" s="1">
        <v>338.32</v>
      </c>
      <c r="H25">
        <f t="shared" si="0"/>
        <v>0</v>
      </c>
    </row>
    <row r="26" spans="1:8" x14ac:dyDescent="0.3">
      <c r="B26" s="1" t="s">
        <v>12</v>
      </c>
      <c r="C26" s="1">
        <v>2614.5300000000002</v>
      </c>
      <c r="D26" s="37">
        <v>2.2477083999999999E-3</v>
      </c>
      <c r="E26" s="26">
        <v>1.1711499999999999E-3</v>
      </c>
      <c r="H26">
        <f t="shared" si="0"/>
        <v>2.2477083999999999E-3</v>
      </c>
    </row>
    <row r="27" spans="1:8" x14ac:dyDescent="0.3">
      <c r="B27" s="1"/>
      <c r="C27" s="1">
        <v>583.19000000000005</v>
      </c>
      <c r="D27" s="26">
        <v>1.5523974699999999E-3</v>
      </c>
      <c r="E27" s="26">
        <v>1.7229000000000001E-3</v>
      </c>
      <c r="H27">
        <f t="shared" si="0"/>
        <v>1.7229000000000001E-3</v>
      </c>
    </row>
    <row r="28" spans="1:8" x14ac:dyDescent="0.3">
      <c r="B28" s="1"/>
      <c r="C28" s="1">
        <v>510.77</v>
      </c>
      <c r="D28">
        <v>1.7260000000000001E-2</v>
      </c>
      <c r="E28" s="26">
        <v>4.3999999999999997E-2</v>
      </c>
      <c r="H28">
        <f t="shared" si="0"/>
        <v>4.3999999999999997E-2</v>
      </c>
    </row>
    <row r="29" spans="1:8" x14ac:dyDescent="0.3">
      <c r="B29" s="1"/>
      <c r="C29" s="1">
        <v>860.56</v>
      </c>
      <c r="H29">
        <f t="shared" si="0"/>
        <v>0</v>
      </c>
    </row>
    <row r="30" spans="1:8" x14ac:dyDescent="0.3">
      <c r="A30" t="s">
        <v>207</v>
      </c>
      <c r="B30" s="1" t="s">
        <v>7</v>
      </c>
      <c r="C30" s="1">
        <v>351.93</v>
      </c>
      <c r="D30" s="19"/>
      <c r="H30">
        <f t="shared" si="0"/>
        <v>0</v>
      </c>
    </row>
    <row r="31" spans="1:8" x14ac:dyDescent="0.3">
      <c r="B31" s="1"/>
      <c r="C31" s="1">
        <v>295.22000000000003</v>
      </c>
      <c r="H31">
        <f t="shared" si="0"/>
        <v>0</v>
      </c>
    </row>
    <row r="32" spans="1:8" x14ac:dyDescent="0.3">
      <c r="B32" s="1" t="s">
        <v>8</v>
      </c>
      <c r="C32" s="1">
        <v>609.32000000000005</v>
      </c>
      <c r="H32">
        <f t="shared" si="0"/>
        <v>0</v>
      </c>
    </row>
    <row r="33" spans="1:8" x14ac:dyDescent="0.3">
      <c r="B33" s="1"/>
      <c r="C33" s="1">
        <v>1764.49</v>
      </c>
      <c r="H33">
        <f t="shared" si="0"/>
        <v>0</v>
      </c>
    </row>
    <row r="34" spans="1:8" x14ac:dyDescent="0.3">
      <c r="B34" s="1"/>
      <c r="C34" s="1">
        <v>1120.29</v>
      </c>
      <c r="H34">
        <f t="shared" si="0"/>
        <v>0</v>
      </c>
    </row>
    <row r="35" spans="1:8" x14ac:dyDescent="0.3">
      <c r="B35" s="1" t="s">
        <v>9</v>
      </c>
      <c r="C35" s="1">
        <v>1460.82</v>
      </c>
      <c r="D35" s="34">
        <v>4.9195372499999997E-3</v>
      </c>
      <c r="E35" s="26">
        <v>1.38536E-3</v>
      </c>
      <c r="H35">
        <f t="shared" si="0"/>
        <v>4.9195372499999997E-3</v>
      </c>
    </row>
    <row r="36" spans="1:8" x14ac:dyDescent="0.3">
      <c r="B36" s="1" t="s">
        <v>10</v>
      </c>
      <c r="C36" s="1">
        <v>238.63</v>
      </c>
      <c r="D36" s="19"/>
      <c r="H36">
        <f t="shared" si="0"/>
        <v>0</v>
      </c>
    </row>
    <row r="37" spans="1:8" x14ac:dyDescent="0.3">
      <c r="B37" s="1" t="s">
        <v>11</v>
      </c>
      <c r="C37" s="1">
        <v>911.21</v>
      </c>
      <c r="D37" s="19"/>
      <c r="H37">
        <f t="shared" si="0"/>
        <v>0</v>
      </c>
    </row>
    <row r="38" spans="1:8" x14ac:dyDescent="0.3">
      <c r="B38" s="1"/>
      <c r="C38" s="1">
        <v>968.97</v>
      </c>
      <c r="H38">
        <f t="shared" si="0"/>
        <v>0</v>
      </c>
    </row>
    <row r="39" spans="1:8" x14ac:dyDescent="0.3">
      <c r="B39" s="1"/>
      <c r="C39" s="1">
        <v>338.32</v>
      </c>
      <c r="H39">
        <f t="shared" si="0"/>
        <v>0</v>
      </c>
    </row>
    <row r="40" spans="1:8" x14ac:dyDescent="0.3">
      <c r="B40" s="1" t="s">
        <v>12</v>
      </c>
      <c r="C40" s="1">
        <v>2614.5300000000002</v>
      </c>
      <c r="D40" s="32">
        <v>5.00422438E-3</v>
      </c>
      <c r="E40" s="26">
        <v>5.7020599999999997E-4</v>
      </c>
      <c r="H40">
        <f t="shared" si="0"/>
        <v>5.00422438E-3</v>
      </c>
    </row>
    <row r="41" spans="1:8" x14ac:dyDescent="0.3">
      <c r="B41" s="1"/>
      <c r="C41" s="1">
        <v>583.19000000000005</v>
      </c>
      <c r="H41">
        <f t="shared" si="0"/>
        <v>0</v>
      </c>
    </row>
    <row r="42" spans="1:8" x14ac:dyDescent="0.3">
      <c r="B42" s="1"/>
      <c r="C42" s="1">
        <v>510.77</v>
      </c>
      <c r="D42" s="19">
        <v>1.9560000000000001E-2</v>
      </c>
      <c r="E42" s="26">
        <v>4.1000000000000002E-2</v>
      </c>
      <c r="H42">
        <f t="shared" si="0"/>
        <v>4.1000000000000002E-2</v>
      </c>
    </row>
    <row r="43" spans="1:8" x14ac:dyDescent="0.3">
      <c r="B43" s="1"/>
      <c r="C43" s="1">
        <v>860.56</v>
      </c>
      <c r="H43">
        <f t="shared" si="0"/>
        <v>0</v>
      </c>
    </row>
    <row r="44" spans="1:8" x14ac:dyDescent="0.3">
      <c r="A44" t="s">
        <v>211</v>
      </c>
      <c r="B44" s="1" t="s">
        <v>7</v>
      </c>
      <c r="C44" s="1">
        <v>351.93</v>
      </c>
      <c r="D44" s="25">
        <v>1.6206623199999999E-3</v>
      </c>
      <c r="E44" s="26">
        <v>2.2623500000000002E-3</v>
      </c>
      <c r="H44">
        <f t="shared" si="0"/>
        <v>2.2623500000000002E-3</v>
      </c>
    </row>
    <row r="45" spans="1:8" x14ac:dyDescent="0.3">
      <c r="B45" s="1"/>
      <c r="C45" s="1">
        <v>295.22000000000003</v>
      </c>
      <c r="D45" s="25">
        <v>7.3222238500000002E-4</v>
      </c>
      <c r="E45" s="26">
        <v>2.4646899999999998E-3</v>
      </c>
      <c r="H45">
        <f t="shared" si="0"/>
        <v>2.4646899999999998E-3</v>
      </c>
    </row>
    <row r="46" spans="1:8" x14ac:dyDescent="0.3">
      <c r="B46" s="1" t="s">
        <v>8</v>
      </c>
      <c r="C46" s="1">
        <v>609.32000000000005</v>
      </c>
      <c r="H46">
        <f t="shared" si="0"/>
        <v>0</v>
      </c>
    </row>
    <row r="47" spans="1:8" x14ac:dyDescent="0.3">
      <c r="B47" s="1"/>
      <c r="C47" s="1">
        <v>1764.49</v>
      </c>
      <c r="H47">
        <f t="shared" si="0"/>
        <v>0</v>
      </c>
    </row>
    <row r="48" spans="1:8" x14ac:dyDescent="0.3">
      <c r="B48" s="1"/>
      <c r="C48" s="1">
        <v>1120.29</v>
      </c>
      <c r="H48">
        <f t="shared" si="0"/>
        <v>0</v>
      </c>
    </row>
    <row r="49" spans="1:8" x14ac:dyDescent="0.3">
      <c r="B49" s="1" t="s">
        <v>9</v>
      </c>
      <c r="C49" s="1">
        <v>1460.82</v>
      </c>
      <c r="D49" s="32">
        <v>3.6496463299999999E-3</v>
      </c>
      <c r="E49" s="26">
        <v>1.3515599999999999E-3</v>
      </c>
      <c r="H49">
        <f t="shared" si="0"/>
        <v>3.6496463299999999E-3</v>
      </c>
    </row>
    <row r="50" spans="1:8" x14ac:dyDescent="0.3">
      <c r="B50" s="1" t="s">
        <v>10</v>
      </c>
      <c r="C50" s="1">
        <v>238.63</v>
      </c>
      <c r="D50" s="32">
        <v>4.28255032E-3</v>
      </c>
      <c r="E50" s="26">
        <v>2.85688E-3</v>
      </c>
      <c r="H50">
        <f t="shared" si="0"/>
        <v>4.28255032E-3</v>
      </c>
    </row>
    <row r="51" spans="1:8" x14ac:dyDescent="0.3">
      <c r="B51" s="1" t="s">
        <v>11</v>
      </c>
      <c r="C51" s="1">
        <v>911.21</v>
      </c>
      <c r="H51">
        <f t="shared" si="0"/>
        <v>0</v>
      </c>
    </row>
    <row r="52" spans="1:8" x14ac:dyDescent="0.3">
      <c r="B52" s="1"/>
      <c r="C52" s="1">
        <v>968.97</v>
      </c>
      <c r="H52">
        <f t="shared" si="0"/>
        <v>0</v>
      </c>
    </row>
    <row r="53" spans="1:8" x14ac:dyDescent="0.3">
      <c r="B53" s="1"/>
      <c r="C53" s="1">
        <v>338.32</v>
      </c>
      <c r="H53">
        <f t="shared" si="0"/>
        <v>0</v>
      </c>
    </row>
    <row r="54" spans="1:8" x14ac:dyDescent="0.3">
      <c r="B54" s="1" t="s">
        <v>12</v>
      </c>
      <c r="C54" s="1">
        <v>2614.5300000000002</v>
      </c>
      <c r="H54">
        <f t="shared" si="0"/>
        <v>0</v>
      </c>
    </row>
    <row r="55" spans="1:8" x14ac:dyDescent="0.3">
      <c r="B55" s="1"/>
      <c r="C55" s="1">
        <v>583.19000000000005</v>
      </c>
      <c r="H55">
        <f t="shared" si="0"/>
        <v>0</v>
      </c>
    </row>
    <row r="56" spans="1:8" x14ac:dyDescent="0.3">
      <c r="B56" s="1"/>
      <c r="C56" s="1">
        <v>510.77</v>
      </c>
      <c r="D56" s="18"/>
      <c r="H56">
        <f t="shared" si="0"/>
        <v>0</v>
      </c>
    </row>
    <row r="57" spans="1:8" x14ac:dyDescent="0.3">
      <c r="B57" s="1"/>
      <c r="C57" s="1">
        <v>860.56</v>
      </c>
      <c r="H57">
        <f t="shared" si="0"/>
        <v>0</v>
      </c>
    </row>
    <row r="58" spans="1:8" x14ac:dyDescent="0.3">
      <c r="A58" t="s">
        <v>216</v>
      </c>
      <c r="B58" s="1" t="s">
        <v>7</v>
      </c>
      <c r="C58" s="1">
        <v>351.93</v>
      </c>
      <c r="D58" s="34">
        <v>2.5498923600000001E-3</v>
      </c>
      <c r="E58" s="26">
        <v>2.2401500000000002E-3</v>
      </c>
      <c r="H58">
        <f t="shared" si="0"/>
        <v>2.5498923600000001E-3</v>
      </c>
    </row>
    <row r="59" spans="1:8" x14ac:dyDescent="0.3">
      <c r="B59" s="1"/>
      <c r="C59" s="1">
        <v>295.22000000000003</v>
      </c>
      <c r="H59">
        <f t="shared" si="0"/>
        <v>0</v>
      </c>
    </row>
    <row r="60" spans="1:8" x14ac:dyDescent="0.3">
      <c r="B60" s="1" t="s">
        <v>8</v>
      </c>
      <c r="C60" s="1">
        <v>609.32000000000005</v>
      </c>
      <c r="D60" s="18"/>
      <c r="H60">
        <f t="shared" si="0"/>
        <v>0</v>
      </c>
    </row>
    <row r="61" spans="1:8" x14ac:dyDescent="0.3">
      <c r="B61" s="1"/>
      <c r="C61" s="1">
        <v>1764.49</v>
      </c>
      <c r="H61">
        <f t="shared" si="0"/>
        <v>0</v>
      </c>
    </row>
    <row r="62" spans="1:8" x14ac:dyDescent="0.3">
      <c r="B62" s="1"/>
      <c r="C62" s="1">
        <v>1120.29</v>
      </c>
      <c r="H62">
        <f t="shared" si="0"/>
        <v>0</v>
      </c>
    </row>
    <row r="63" spans="1:8" x14ac:dyDescent="0.3">
      <c r="B63" s="1" t="s">
        <v>9</v>
      </c>
      <c r="C63" s="1">
        <v>1460.82</v>
      </c>
      <c r="D63" s="32">
        <v>4.8856759800000003E-3</v>
      </c>
      <c r="E63" s="26">
        <v>1.28762E-3</v>
      </c>
      <c r="H63">
        <f t="shared" si="0"/>
        <v>4.8856759800000003E-3</v>
      </c>
    </row>
    <row r="64" spans="1:8" x14ac:dyDescent="0.3">
      <c r="B64" s="1" t="s">
        <v>10</v>
      </c>
      <c r="C64" s="1">
        <v>238.63</v>
      </c>
      <c r="D64" s="20">
        <v>1.99165015E-3</v>
      </c>
      <c r="E64" s="26">
        <v>2.6266699999999998E-3</v>
      </c>
      <c r="H64">
        <f t="shared" si="0"/>
        <v>2.6266699999999998E-3</v>
      </c>
    </row>
    <row r="65" spans="1:8" x14ac:dyDescent="0.3">
      <c r="B65" s="1" t="s">
        <v>11</v>
      </c>
      <c r="C65" s="1">
        <v>911.21</v>
      </c>
      <c r="H65">
        <f t="shared" si="0"/>
        <v>0</v>
      </c>
    </row>
    <row r="66" spans="1:8" x14ac:dyDescent="0.3">
      <c r="B66" s="1"/>
      <c r="C66" s="1">
        <v>968.97</v>
      </c>
      <c r="H66">
        <f t="shared" si="0"/>
        <v>0</v>
      </c>
    </row>
    <row r="67" spans="1:8" x14ac:dyDescent="0.3">
      <c r="B67" s="1"/>
      <c r="C67" s="1">
        <v>338.32</v>
      </c>
      <c r="H67">
        <f t="shared" ref="H67:H130" si="1">MAX(D67:E67)</f>
        <v>0</v>
      </c>
    </row>
    <row r="68" spans="1:8" x14ac:dyDescent="0.3">
      <c r="B68" s="1" t="s">
        <v>12</v>
      </c>
      <c r="C68" s="1">
        <v>2614.5300000000002</v>
      </c>
      <c r="H68">
        <f t="shared" si="1"/>
        <v>0</v>
      </c>
    </row>
    <row r="69" spans="1:8" x14ac:dyDescent="0.3">
      <c r="B69" s="1"/>
      <c r="C69" s="1">
        <v>583.19000000000005</v>
      </c>
      <c r="H69">
        <f t="shared" si="1"/>
        <v>0</v>
      </c>
    </row>
    <row r="70" spans="1:8" x14ac:dyDescent="0.3">
      <c r="B70" s="1"/>
      <c r="C70" s="1">
        <v>510.77</v>
      </c>
      <c r="D70" s="18"/>
      <c r="H70">
        <f t="shared" si="1"/>
        <v>0</v>
      </c>
    </row>
    <row r="71" spans="1:8" x14ac:dyDescent="0.3">
      <c r="B71" s="1"/>
      <c r="C71" s="1">
        <v>860.56</v>
      </c>
      <c r="H71">
        <f t="shared" si="1"/>
        <v>0</v>
      </c>
    </row>
    <row r="72" spans="1:8" x14ac:dyDescent="0.3">
      <c r="A72" t="s">
        <v>37</v>
      </c>
      <c r="B72" s="9" t="s">
        <v>7</v>
      </c>
      <c r="C72" s="1">
        <v>351.93</v>
      </c>
      <c r="D72" s="20">
        <v>1.8857279100000001E-3</v>
      </c>
      <c r="E72" s="26">
        <v>2.16139E-3</v>
      </c>
      <c r="H72">
        <f t="shared" si="1"/>
        <v>2.16139E-3</v>
      </c>
    </row>
    <row r="73" spans="1:8" x14ac:dyDescent="0.3">
      <c r="B73" s="9"/>
      <c r="C73" s="1">
        <v>295.22000000000003</v>
      </c>
      <c r="H73">
        <f t="shared" si="1"/>
        <v>0</v>
      </c>
    </row>
    <row r="74" spans="1:8" x14ac:dyDescent="0.3">
      <c r="B74" s="9" t="s">
        <v>8</v>
      </c>
      <c r="C74" s="1">
        <v>609.32000000000005</v>
      </c>
      <c r="H74">
        <f t="shared" si="1"/>
        <v>0</v>
      </c>
    </row>
    <row r="75" spans="1:8" x14ac:dyDescent="0.3">
      <c r="B75" s="9"/>
      <c r="C75" s="1">
        <v>1764.49</v>
      </c>
      <c r="H75">
        <f t="shared" si="1"/>
        <v>0</v>
      </c>
    </row>
    <row r="76" spans="1:8" x14ac:dyDescent="0.3">
      <c r="B76" s="9"/>
      <c r="C76" s="9">
        <v>1120.29</v>
      </c>
      <c r="H76">
        <f t="shared" si="1"/>
        <v>0</v>
      </c>
    </row>
    <row r="77" spans="1:8" x14ac:dyDescent="0.3">
      <c r="B77" s="9" t="s">
        <v>9</v>
      </c>
      <c r="C77" s="9">
        <v>1460.82</v>
      </c>
      <c r="D77" s="34">
        <v>5.9606409500000002E-3</v>
      </c>
      <c r="E77" s="26">
        <v>1.3240400000000001E-3</v>
      </c>
      <c r="H77">
        <f t="shared" si="1"/>
        <v>5.9606409500000002E-3</v>
      </c>
    </row>
    <row r="78" spans="1:8" x14ac:dyDescent="0.3">
      <c r="B78" s="9" t="s">
        <v>10</v>
      </c>
      <c r="C78" s="9">
        <v>238.63</v>
      </c>
      <c r="H78">
        <f t="shared" si="1"/>
        <v>0</v>
      </c>
    </row>
    <row r="79" spans="1:8" x14ac:dyDescent="0.3">
      <c r="B79" s="9" t="s">
        <v>11</v>
      </c>
      <c r="C79" s="9">
        <v>911.21</v>
      </c>
      <c r="H79">
        <f t="shared" si="1"/>
        <v>0</v>
      </c>
    </row>
    <row r="80" spans="1:8" x14ac:dyDescent="0.3">
      <c r="B80" s="9"/>
      <c r="C80" s="9">
        <v>968.97</v>
      </c>
      <c r="H80">
        <f t="shared" si="1"/>
        <v>0</v>
      </c>
    </row>
    <row r="81" spans="1:8" x14ac:dyDescent="0.3">
      <c r="B81" s="9"/>
      <c r="C81" s="9">
        <v>338.32</v>
      </c>
      <c r="H81">
        <f t="shared" si="1"/>
        <v>0</v>
      </c>
    </row>
    <row r="82" spans="1:8" x14ac:dyDescent="0.3">
      <c r="B82" s="9" t="s">
        <v>12</v>
      </c>
      <c r="C82" s="23">
        <v>2614.5300000000002</v>
      </c>
      <c r="H82">
        <f t="shared" si="1"/>
        <v>0</v>
      </c>
    </row>
    <row r="83" spans="1:8" x14ac:dyDescent="0.3">
      <c r="B83" s="9"/>
      <c r="C83" s="9">
        <v>583.19000000000005</v>
      </c>
      <c r="D83" s="20">
        <v>1.38913775E-3</v>
      </c>
      <c r="E83" s="26">
        <v>1.7057800000000001E-3</v>
      </c>
      <c r="H83">
        <f t="shared" si="1"/>
        <v>1.7057800000000001E-3</v>
      </c>
    </row>
    <row r="84" spans="1:8" x14ac:dyDescent="0.3">
      <c r="B84" s="9"/>
      <c r="C84" s="9">
        <v>510.77</v>
      </c>
      <c r="D84" s="19">
        <v>2.0660000000000001E-2</v>
      </c>
      <c r="E84" s="26">
        <v>9.4E-2</v>
      </c>
      <c r="H84">
        <f t="shared" si="1"/>
        <v>9.4E-2</v>
      </c>
    </row>
    <row r="85" spans="1:8" x14ac:dyDescent="0.3">
      <c r="B85" s="9"/>
      <c r="C85" s="9">
        <v>860.56</v>
      </c>
      <c r="H85">
        <f t="shared" si="1"/>
        <v>0</v>
      </c>
    </row>
    <row r="86" spans="1:8" x14ac:dyDescent="0.3">
      <c r="A86" t="s">
        <v>38</v>
      </c>
      <c r="B86" s="9" t="s">
        <v>7</v>
      </c>
      <c r="C86" s="1">
        <v>351.93</v>
      </c>
      <c r="D86" s="34">
        <v>2.8338928900000001E-3</v>
      </c>
      <c r="E86" s="26">
        <v>2.19929E-3</v>
      </c>
      <c r="H86">
        <f t="shared" si="1"/>
        <v>2.8338928900000001E-3</v>
      </c>
    </row>
    <row r="87" spans="1:8" x14ac:dyDescent="0.3">
      <c r="B87" s="9"/>
      <c r="C87" s="1">
        <v>295.22000000000003</v>
      </c>
      <c r="H87">
        <f t="shared" si="1"/>
        <v>0</v>
      </c>
    </row>
    <row r="88" spans="1:8" x14ac:dyDescent="0.3">
      <c r="B88" s="9" t="s">
        <v>8</v>
      </c>
      <c r="C88" s="23">
        <v>609.32000000000005</v>
      </c>
      <c r="H88">
        <f t="shared" si="1"/>
        <v>0</v>
      </c>
    </row>
    <row r="89" spans="1:8" x14ac:dyDescent="0.3">
      <c r="B89" s="9"/>
      <c r="C89" s="1">
        <v>1764.49</v>
      </c>
      <c r="H89">
        <f t="shared" si="1"/>
        <v>0</v>
      </c>
    </row>
    <row r="90" spans="1:8" x14ac:dyDescent="0.3">
      <c r="B90" s="9"/>
      <c r="C90" s="9">
        <v>1120.29</v>
      </c>
      <c r="H90">
        <f t="shared" si="1"/>
        <v>0</v>
      </c>
    </row>
    <row r="91" spans="1:8" x14ac:dyDescent="0.3">
      <c r="B91" s="9" t="s">
        <v>9</v>
      </c>
      <c r="C91" s="9">
        <v>1460.82</v>
      </c>
      <c r="D91" s="32">
        <v>4.2505900899999999E-3</v>
      </c>
      <c r="E91" s="26">
        <v>1.28762E-3</v>
      </c>
      <c r="H91">
        <f t="shared" si="1"/>
        <v>4.2505900899999999E-3</v>
      </c>
    </row>
    <row r="92" spans="1:8" x14ac:dyDescent="0.3">
      <c r="B92" s="9" t="s">
        <v>10</v>
      </c>
      <c r="C92" s="9">
        <v>238.63</v>
      </c>
      <c r="H92">
        <f t="shared" si="1"/>
        <v>0</v>
      </c>
    </row>
    <row r="93" spans="1:8" x14ac:dyDescent="0.3">
      <c r="B93" s="9" t="s">
        <v>11</v>
      </c>
      <c r="C93" s="9">
        <v>911.21</v>
      </c>
      <c r="H93">
        <f t="shared" si="1"/>
        <v>0</v>
      </c>
    </row>
    <row r="94" spans="1:8" x14ac:dyDescent="0.3">
      <c r="B94" s="9"/>
      <c r="C94" s="9">
        <v>968.97</v>
      </c>
      <c r="H94">
        <f t="shared" si="1"/>
        <v>0</v>
      </c>
    </row>
    <row r="95" spans="1:8" x14ac:dyDescent="0.3">
      <c r="B95" s="9"/>
      <c r="C95" s="9">
        <v>338.32</v>
      </c>
      <c r="H95">
        <f t="shared" si="1"/>
        <v>0</v>
      </c>
    </row>
    <row r="96" spans="1:8" x14ac:dyDescent="0.3">
      <c r="B96" s="9" t="s">
        <v>12</v>
      </c>
      <c r="C96" s="23">
        <v>2614.5300000000002</v>
      </c>
      <c r="H96">
        <f t="shared" si="1"/>
        <v>0</v>
      </c>
    </row>
    <row r="97" spans="1:8" x14ac:dyDescent="0.3">
      <c r="B97" s="9"/>
      <c r="C97" s="9">
        <v>583.19000000000005</v>
      </c>
      <c r="H97">
        <f t="shared" si="1"/>
        <v>0</v>
      </c>
    </row>
    <row r="98" spans="1:8" x14ac:dyDescent="0.3">
      <c r="B98" s="9"/>
      <c r="C98" s="23">
        <v>510.77</v>
      </c>
      <c r="H98">
        <f t="shared" si="1"/>
        <v>0</v>
      </c>
    </row>
    <row r="99" spans="1:8" x14ac:dyDescent="0.3">
      <c r="B99" s="9"/>
      <c r="C99" s="9">
        <v>860.56</v>
      </c>
      <c r="H99">
        <f t="shared" si="1"/>
        <v>0</v>
      </c>
    </row>
    <row r="100" spans="1:8" x14ac:dyDescent="0.3">
      <c r="A100" t="s">
        <v>39</v>
      </c>
      <c r="B100" s="1" t="s">
        <v>7</v>
      </c>
      <c r="C100" s="1">
        <v>351.93</v>
      </c>
      <c r="D100" s="34">
        <v>2.5140252399999999E-3</v>
      </c>
      <c r="E100" s="26">
        <v>2.4253199999999999E-3</v>
      </c>
      <c r="H100">
        <f t="shared" si="1"/>
        <v>2.5140252399999999E-3</v>
      </c>
    </row>
    <row r="101" spans="1:8" x14ac:dyDescent="0.3">
      <c r="B101" s="1"/>
      <c r="C101" s="1">
        <v>295.22000000000003</v>
      </c>
      <c r="H101">
        <f t="shared" si="1"/>
        <v>0</v>
      </c>
    </row>
    <row r="102" spans="1:8" x14ac:dyDescent="0.3">
      <c r="B102" s="1" t="s">
        <v>8</v>
      </c>
      <c r="C102" s="1">
        <v>609.32000000000005</v>
      </c>
      <c r="H102">
        <f t="shared" si="1"/>
        <v>0</v>
      </c>
    </row>
    <row r="103" spans="1:8" x14ac:dyDescent="0.3">
      <c r="B103" s="1"/>
      <c r="C103" s="1">
        <v>1764.49</v>
      </c>
      <c r="H103">
        <f t="shared" si="1"/>
        <v>0</v>
      </c>
    </row>
    <row r="104" spans="1:8" x14ac:dyDescent="0.3">
      <c r="B104" s="1"/>
      <c r="C104" s="1">
        <v>1120.29</v>
      </c>
      <c r="H104">
        <f t="shared" si="1"/>
        <v>0</v>
      </c>
    </row>
    <row r="105" spans="1:8" x14ac:dyDescent="0.3">
      <c r="B105" s="1" t="s">
        <v>9</v>
      </c>
      <c r="C105" s="1">
        <v>1460.82</v>
      </c>
      <c r="D105" s="32">
        <v>2.2074278400000002E-3</v>
      </c>
      <c r="E105" s="26">
        <v>1.3629200000000001E-3</v>
      </c>
      <c r="H105">
        <f t="shared" si="1"/>
        <v>2.2074278400000002E-3</v>
      </c>
    </row>
    <row r="106" spans="1:8" x14ac:dyDescent="0.3">
      <c r="B106" s="1" t="s">
        <v>10</v>
      </c>
      <c r="C106" s="1">
        <v>238.63</v>
      </c>
      <c r="D106" s="34">
        <v>4.0623316899999996E-3</v>
      </c>
      <c r="E106" s="26">
        <v>2.6160699999999999E-3</v>
      </c>
      <c r="H106">
        <f t="shared" si="1"/>
        <v>4.0623316899999996E-3</v>
      </c>
    </row>
    <row r="107" spans="1:8" x14ac:dyDescent="0.3">
      <c r="B107" s="1" t="s">
        <v>11</v>
      </c>
      <c r="C107" s="1">
        <v>911.21</v>
      </c>
      <c r="H107">
        <f t="shared" si="1"/>
        <v>0</v>
      </c>
    </row>
    <row r="108" spans="1:8" x14ac:dyDescent="0.3">
      <c r="B108" s="1"/>
      <c r="C108" s="1">
        <v>968.97</v>
      </c>
      <c r="D108" s="18"/>
      <c r="H108">
        <f t="shared" si="1"/>
        <v>0</v>
      </c>
    </row>
    <row r="109" spans="1:8" x14ac:dyDescent="0.3">
      <c r="B109" s="1"/>
      <c r="C109" s="1">
        <v>338.32</v>
      </c>
      <c r="H109">
        <f t="shared" si="1"/>
        <v>0</v>
      </c>
    </row>
    <row r="110" spans="1:8" x14ac:dyDescent="0.3">
      <c r="B110" s="1" t="s">
        <v>12</v>
      </c>
      <c r="C110" s="1">
        <v>2614.5300000000002</v>
      </c>
      <c r="D110" s="32">
        <v>1.7979717300000001E-3</v>
      </c>
      <c r="E110" s="26">
        <v>1.3096E-3</v>
      </c>
      <c r="H110">
        <f t="shared" si="1"/>
        <v>1.7979717300000001E-3</v>
      </c>
    </row>
    <row r="111" spans="1:8" x14ac:dyDescent="0.3">
      <c r="B111" s="1"/>
      <c r="C111" s="1">
        <v>583.19000000000005</v>
      </c>
      <c r="H111">
        <f t="shared" si="1"/>
        <v>0</v>
      </c>
    </row>
    <row r="112" spans="1:8" x14ac:dyDescent="0.3">
      <c r="B112" s="1"/>
      <c r="C112" s="23">
        <v>510.77</v>
      </c>
      <c r="H112">
        <f t="shared" si="1"/>
        <v>0</v>
      </c>
    </row>
    <row r="113" spans="1:8" x14ac:dyDescent="0.3">
      <c r="B113" s="1"/>
      <c r="C113" s="1">
        <v>860.56</v>
      </c>
      <c r="H113">
        <f t="shared" si="1"/>
        <v>0</v>
      </c>
    </row>
    <row r="114" spans="1:8" x14ac:dyDescent="0.3">
      <c r="A114" t="s">
        <v>40</v>
      </c>
      <c r="B114" s="1" t="s">
        <v>7</v>
      </c>
      <c r="C114" s="1">
        <v>351.93</v>
      </c>
      <c r="H114">
        <f t="shared" si="1"/>
        <v>0</v>
      </c>
    </row>
    <row r="115" spans="1:8" x14ac:dyDescent="0.3">
      <c r="B115" s="1"/>
      <c r="C115" s="23">
        <v>295.22000000000003</v>
      </c>
      <c r="H115">
        <f t="shared" si="1"/>
        <v>0</v>
      </c>
    </row>
    <row r="116" spans="1:8" x14ac:dyDescent="0.3">
      <c r="B116" s="1" t="s">
        <v>8</v>
      </c>
      <c r="C116" s="1">
        <v>609.32000000000005</v>
      </c>
      <c r="H116">
        <f t="shared" si="1"/>
        <v>0</v>
      </c>
    </row>
    <row r="117" spans="1:8" x14ac:dyDescent="0.3">
      <c r="B117" s="1"/>
      <c r="C117" s="1">
        <v>1764.49</v>
      </c>
      <c r="H117">
        <f t="shared" si="1"/>
        <v>0</v>
      </c>
    </row>
    <row r="118" spans="1:8" x14ac:dyDescent="0.3">
      <c r="B118" s="1"/>
      <c r="C118" s="1">
        <v>1120.29</v>
      </c>
      <c r="H118">
        <f t="shared" si="1"/>
        <v>0</v>
      </c>
    </row>
    <row r="119" spans="1:8" x14ac:dyDescent="0.3">
      <c r="B119" s="1" t="s">
        <v>9</v>
      </c>
      <c r="C119" s="1">
        <v>1460.82</v>
      </c>
      <c r="D119" s="32">
        <v>3.9604503500000002E-3</v>
      </c>
      <c r="E119" s="26">
        <v>1.2931500000000001E-3</v>
      </c>
      <c r="H119">
        <f t="shared" si="1"/>
        <v>3.9604503500000002E-3</v>
      </c>
    </row>
    <row r="120" spans="1:8" x14ac:dyDescent="0.3">
      <c r="B120" s="1" t="s">
        <v>10</v>
      </c>
      <c r="C120" s="1">
        <v>238.63</v>
      </c>
      <c r="D120" s="34">
        <v>3.2776332600000001E-3</v>
      </c>
      <c r="E120" s="26">
        <v>3.04346E-3</v>
      </c>
      <c r="H120">
        <f t="shared" si="1"/>
        <v>3.2776332600000001E-3</v>
      </c>
    </row>
    <row r="121" spans="1:8" x14ac:dyDescent="0.3">
      <c r="B121" s="1" t="s">
        <v>11</v>
      </c>
      <c r="C121" s="1">
        <v>911.21</v>
      </c>
      <c r="H121">
        <f t="shared" si="1"/>
        <v>0</v>
      </c>
    </row>
    <row r="122" spans="1:8" x14ac:dyDescent="0.3">
      <c r="B122" s="1"/>
      <c r="C122" s="1">
        <v>968.97</v>
      </c>
      <c r="H122">
        <f t="shared" si="1"/>
        <v>0</v>
      </c>
    </row>
    <row r="123" spans="1:8" x14ac:dyDescent="0.3">
      <c r="B123" s="1"/>
      <c r="C123" s="1">
        <v>338.32</v>
      </c>
      <c r="H123">
        <f t="shared" si="1"/>
        <v>0</v>
      </c>
    </row>
    <row r="124" spans="1:8" x14ac:dyDescent="0.3">
      <c r="B124" s="1" t="s">
        <v>12</v>
      </c>
      <c r="C124" s="1">
        <v>2614.5300000000002</v>
      </c>
      <c r="D124" s="32">
        <v>4.1476006199999997E-3</v>
      </c>
      <c r="E124" s="26">
        <v>8.1396799999999998E-4</v>
      </c>
      <c r="H124">
        <f t="shared" si="1"/>
        <v>4.1476006199999997E-3</v>
      </c>
    </row>
    <row r="125" spans="1:8" x14ac:dyDescent="0.3">
      <c r="B125" s="1"/>
      <c r="C125" s="1">
        <v>583.19000000000005</v>
      </c>
      <c r="H125">
        <f t="shared" si="1"/>
        <v>0</v>
      </c>
    </row>
    <row r="126" spans="1:8" x14ac:dyDescent="0.3">
      <c r="B126" s="1"/>
      <c r="C126" s="1">
        <v>510.77</v>
      </c>
      <c r="D126" s="18">
        <v>2.069E-2</v>
      </c>
      <c r="E126" s="26">
        <v>5.8000000000000003E-2</v>
      </c>
      <c r="H126">
        <f t="shared" si="1"/>
        <v>5.8000000000000003E-2</v>
      </c>
    </row>
    <row r="127" spans="1:8" x14ac:dyDescent="0.3">
      <c r="B127" s="1"/>
      <c r="C127" s="1">
        <v>860.56</v>
      </c>
      <c r="H127">
        <f t="shared" si="1"/>
        <v>0</v>
      </c>
    </row>
    <row r="128" spans="1:8" x14ac:dyDescent="0.3">
      <c r="A128" t="s">
        <v>188</v>
      </c>
      <c r="B128" s="1" t="s">
        <v>7</v>
      </c>
      <c r="C128" s="1">
        <v>351.93</v>
      </c>
      <c r="D128" s="25">
        <v>2.36307566E-3</v>
      </c>
      <c r="E128" s="26">
        <v>2.6080999999999999E-3</v>
      </c>
      <c r="H128">
        <f t="shared" si="1"/>
        <v>2.6080999999999999E-3</v>
      </c>
    </row>
    <row r="129" spans="1:8" x14ac:dyDescent="0.3">
      <c r="B129" s="1"/>
      <c r="C129" s="1">
        <v>295.22000000000003</v>
      </c>
      <c r="D129" s="20">
        <v>1.5453078200000001E-3</v>
      </c>
      <c r="E129" s="26">
        <v>2.2499899999999999E-3</v>
      </c>
      <c r="H129">
        <f t="shared" si="1"/>
        <v>2.2499899999999999E-3</v>
      </c>
    </row>
    <row r="130" spans="1:8" x14ac:dyDescent="0.3">
      <c r="B130" s="1" t="s">
        <v>8</v>
      </c>
      <c r="C130" s="1">
        <v>609.32000000000005</v>
      </c>
      <c r="H130">
        <f t="shared" si="1"/>
        <v>0</v>
      </c>
    </row>
    <row r="131" spans="1:8" x14ac:dyDescent="0.3">
      <c r="B131" s="1"/>
      <c r="C131" s="1">
        <v>1764.49</v>
      </c>
      <c r="H131">
        <f t="shared" ref="H131:H183" si="2">MAX(D131:E131)</f>
        <v>0</v>
      </c>
    </row>
    <row r="132" spans="1:8" x14ac:dyDescent="0.3">
      <c r="B132" s="1"/>
      <c r="C132" s="1">
        <v>1120.29</v>
      </c>
      <c r="H132">
        <f t="shared" si="2"/>
        <v>0</v>
      </c>
    </row>
    <row r="133" spans="1:8" x14ac:dyDescent="0.3">
      <c r="B133" s="1" t="s">
        <v>9</v>
      </c>
      <c r="C133" s="1">
        <v>1460.82</v>
      </c>
      <c r="D133" s="32">
        <v>2.3045801599999999E-3</v>
      </c>
      <c r="E133" s="26">
        <v>1.5111300000000001E-3</v>
      </c>
      <c r="H133">
        <f t="shared" si="2"/>
        <v>2.3045801599999999E-3</v>
      </c>
    </row>
    <row r="134" spans="1:8" x14ac:dyDescent="0.3">
      <c r="B134" s="1" t="s">
        <v>10</v>
      </c>
      <c r="C134" s="1">
        <v>238.63</v>
      </c>
      <c r="D134" s="32">
        <v>3.9974056399999999E-3</v>
      </c>
      <c r="E134" s="26">
        <v>2.58939E-3</v>
      </c>
      <c r="H134">
        <f t="shared" si="2"/>
        <v>3.9974056399999999E-3</v>
      </c>
    </row>
    <row r="135" spans="1:8" x14ac:dyDescent="0.3">
      <c r="B135" s="1" t="s">
        <v>11</v>
      </c>
      <c r="C135" s="1">
        <v>911.21</v>
      </c>
      <c r="H135">
        <f t="shared" si="2"/>
        <v>0</v>
      </c>
    </row>
    <row r="136" spans="1:8" x14ac:dyDescent="0.3">
      <c r="B136" s="1"/>
      <c r="C136" s="1">
        <v>968.97</v>
      </c>
      <c r="H136">
        <f t="shared" si="2"/>
        <v>0</v>
      </c>
    </row>
    <row r="137" spans="1:8" x14ac:dyDescent="0.3">
      <c r="B137" s="1"/>
      <c r="C137" s="1">
        <v>338.32</v>
      </c>
      <c r="H137">
        <f t="shared" si="2"/>
        <v>0</v>
      </c>
    </row>
    <row r="138" spans="1:8" x14ac:dyDescent="0.3">
      <c r="B138" s="1" t="s">
        <v>12</v>
      </c>
      <c r="C138" s="1">
        <v>2614.5300000000002</v>
      </c>
      <c r="D138" s="32">
        <v>2.8326085499999999E-3</v>
      </c>
      <c r="E138" s="26">
        <v>1.1145199999999999E-3</v>
      </c>
      <c r="H138">
        <f t="shared" si="2"/>
        <v>2.8326085499999999E-3</v>
      </c>
    </row>
    <row r="139" spans="1:8" x14ac:dyDescent="0.3">
      <c r="B139" s="1"/>
      <c r="C139" s="1">
        <v>583.19000000000005</v>
      </c>
      <c r="H139">
        <f t="shared" si="2"/>
        <v>0</v>
      </c>
    </row>
    <row r="140" spans="1:8" x14ac:dyDescent="0.3">
      <c r="B140" s="1"/>
      <c r="C140" s="1">
        <v>510.77</v>
      </c>
      <c r="D140" s="29">
        <v>1.8599999999999998E-2</v>
      </c>
      <c r="E140" s="26">
        <v>0</v>
      </c>
      <c r="H140">
        <f t="shared" si="2"/>
        <v>1.8599999999999998E-2</v>
      </c>
    </row>
    <row r="141" spans="1:8" x14ac:dyDescent="0.3">
      <c r="B141" s="1"/>
      <c r="C141" s="1">
        <v>860.56</v>
      </c>
      <c r="H141">
        <f t="shared" si="2"/>
        <v>0</v>
      </c>
    </row>
    <row r="142" spans="1:8" x14ac:dyDescent="0.3">
      <c r="A142" t="s">
        <v>195</v>
      </c>
      <c r="B142" s="1" t="s">
        <v>7</v>
      </c>
      <c r="C142" s="1">
        <v>351.93</v>
      </c>
      <c r="H142">
        <f t="shared" si="2"/>
        <v>0</v>
      </c>
    </row>
    <row r="143" spans="1:8" x14ac:dyDescent="0.3">
      <c r="B143" s="1"/>
      <c r="C143" s="1">
        <v>295.22000000000003</v>
      </c>
      <c r="H143">
        <f t="shared" si="2"/>
        <v>0</v>
      </c>
    </row>
    <row r="144" spans="1:8" x14ac:dyDescent="0.3">
      <c r="B144" s="1" t="s">
        <v>8</v>
      </c>
      <c r="C144" s="1">
        <v>609.32000000000005</v>
      </c>
      <c r="H144">
        <f t="shared" si="2"/>
        <v>0</v>
      </c>
    </row>
    <row r="145" spans="1:8" x14ac:dyDescent="0.3">
      <c r="B145" s="1"/>
      <c r="C145" s="1">
        <v>1764.49</v>
      </c>
      <c r="H145">
        <f t="shared" si="2"/>
        <v>0</v>
      </c>
    </row>
    <row r="146" spans="1:8" x14ac:dyDescent="0.3">
      <c r="B146" s="1"/>
      <c r="C146" s="1">
        <v>1120.29</v>
      </c>
      <c r="H146">
        <f t="shared" si="2"/>
        <v>0</v>
      </c>
    </row>
    <row r="147" spans="1:8" x14ac:dyDescent="0.3">
      <c r="B147" s="1" t="s">
        <v>9</v>
      </c>
      <c r="C147" s="1">
        <v>1460.82</v>
      </c>
      <c r="D147" s="34">
        <v>4.41848929E-3</v>
      </c>
      <c r="E147" s="26">
        <v>1.25957E-3</v>
      </c>
      <c r="H147">
        <f t="shared" si="2"/>
        <v>4.41848929E-3</v>
      </c>
    </row>
    <row r="148" spans="1:8" x14ac:dyDescent="0.3">
      <c r="B148" s="1" t="s">
        <v>10</v>
      </c>
      <c r="C148" s="1">
        <v>238.63</v>
      </c>
      <c r="D148" s="25">
        <v>1.8867268600000001E-3</v>
      </c>
      <c r="E148" s="26">
        <v>3.1008799999999999E-3</v>
      </c>
      <c r="H148">
        <f t="shared" si="2"/>
        <v>3.1008799999999999E-3</v>
      </c>
    </row>
    <row r="149" spans="1:8" x14ac:dyDescent="0.3">
      <c r="B149" s="1" t="s">
        <v>11</v>
      </c>
      <c r="C149" s="1">
        <v>911.21</v>
      </c>
      <c r="H149">
        <f t="shared" si="2"/>
        <v>0</v>
      </c>
    </row>
    <row r="150" spans="1:8" x14ac:dyDescent="0.3">
      <c r="B150" s="1"/>
      <c r="C150" s="1">
        <v>968.97</v>
      </c>
      <c r="H150">
        <f t="shared" si="2"/>
        <v>0</v>
      </c>
    </row>
    <row r="151" spans="1:8" x14ac:dyDescent="0.3">
      <c r="B151" s="1"/>
      <c r="C151" s="1">
        <v>338.32</v>
      </c>
      <c r="H151">
        <f t="shared" si="2"/>
        <v>0</v>
      </c>
    </row>
    <row r="152" spans="1:8" x14ac:dyDescent="0.3">
      <c r="B152" s="1" t="s">
        <v>12</v>
      </c>
      <c r="C152" s="1">
        <v>2614.5300000000002</v>
      </c>
      <c r="D152" s="32">
        <v>5.35422799E-3</v>
      </c>
      <c r="E152" s="26">
        <v>7.6717899999999999E-4</v>
      </c>
      <c r="H152">
        <f t="shared" si="2"/>
        <v>5.35422799E-3</v>
      </c>
    </row>
    <row r="153" spans="1:8" x14ac:dyDescent="0.3">
      <c r="B153" s="1"/>
      <c r="C153" s="1">
        <v>583.19000000000005</v>
      </c>
      <c r="D153" s="20">
        <v>1.11408085E-3</v>
      </c>
      <c r="E153" s="26">
        <v>1.41916E-3</v>
      </c>
      <c r="H153">
        <f t="shared" si="2"/>
        <v>1.41916E-3</v>
      </c>
    </row>
    <row r="154" spans="1:8" x14ac:dyDescent="0.3">
      <c r="B154" s="1"/>
      <c r="C154" s="1">
        <v>510.77</v>
      </c>
      <c r="D154" s="18">
        <v>1.8689999999999998E-2</v>
      </c>
      <c r="E154" s="26">
        <v>9.9000000000000005E-2</v>
      </c>
      <c r="H154">
        <f t="shared" si="2"/>
        <v>9.9000000000000005E-2</v>
      </c>
    </row>
    <row r="155" spans="1:8" x14ac:dyDescent="0.3">
      <c r="B155" s="1"/>
      <c r="C155" s="1">
        <v>860.56</v>
      </c>
      <c r="H155">
        <f t="shared" si="2"/>
        <v>0</v>
      </c>
    </row>
    <row r="156" spans="1:8" x14ac:dyDescent="0.3">
      <c r="A156" t="s">
        <v>41</v>
      </c>
      <c r="B156" s="1" t="s">
        <v>7</v>
      </c>
      <c r="C156" s="1">
        <v>351.93</v>
      </c>
      <c r="D156" s="26">
        <v>1.55036564E-3</v>
      </c>
      <c r="E156" s="26">
        <v>2.1151099999999999E-3</v>
      </c>
      <c r="H156">
        <f t="shared" si="2"/>
        <v>2.1151099999999999E-3</v>
      </c>
    </row>
    <row r="157" spans="1:8" x14ac:dyDescent="0.3">
      <c r="B157" s="1"/>
      <c r="C157" s="1">
        <v>295.22000000000003</v>
      </c>
      <c r="H157">
        <f t="shared" si="2"/>
        <v>0</v>
      </c>
    </row>
    <row r="158" spans="1:8" x14ac:dyDescent="0.3">
      <c r="B158" s="1" t="s">
        <v>8</v>
      </c>
      <c r="C158" s="1">
        <v>609.32000000000005</v>
      </c>
      <c r="H158">
        <f t="shared" si="2"/>
        <v>0</v>
      </c>
    </row>
    <row r="159" spans="1:8" x14ac:dyDescent="0.3">
      <c r="B159" s="1"/>
      <c r="C159" s="1">
        <v>1764.49</v>
      </c>
      <c r="H159">
        <f t="shared" si="2"/>
        <v>0</v>
      </c>
    </row>
    <row r="160" spans="1:8" x14ac:dyDescent="0.3">
      <c r="B160" s="1"/>
      <c r="C160" s="1">
        <v>1120.29</v>
      </c>
      <c r="H160">
        <f t="shared" si="2"/>
        <v>0</v>
      </c>
    </row>
    <row r="161" spans="1:8" x14ac:dyDescent="0.3">
      <c r="B161" s="1" t="s">
        <v>9</v>
      </c>
      <c r="C161" s="1">
        <v>1460.82</v>
      </c>
      <c r="D161" s="34">
        <v>4.7468305799999999E-3</v>
      </c>
      <c r="E161" s="26">
        <v>1.4107900000000001E-3</v>
      </c>
      <c r="H161">
        <f t="shared" si="2"/>
        <v>4.7468305799999999E-3</v>
      </c>
    </row>
    <row r="162" spans="1:8" x14ac:dyDescent="0.3">
      <c r="B162" s="1" t="s">
        <v>10</v>
      </c>
      <c r="C162" s="23">
        <v>238.63</v>
      </c>
      <c r="H162">
        <f t="shared" si="2"/>
        <v>0</v>
      </c>
    </row>
    <row r="163" spans="1:8" x14ac:dyDescent="0.3">
      <c r="B163" s="1" t="s">
        <v>11</v>
      </c>
      <c r="C163" s="1">
        <v>911.21</v>
      </c>
      <c r="H163">
        <f t="shared" si="2"/>
        <v>0</v>
      </c>
    </row>
    <row r="164" spans="1:8" x14ac:dyDescent="0.3">
      <c r="B164" s="1"/>
      <c r="C164" s="1">
        <v>968.97</v>
      </c>
      <c r="H164">
        <f t="shared" si="2"/>
        <v>0</v>
      </c>
    </row>
    <row r="165" spans="1:8" x14ac:dyDescent="0.3">
      <c r="B165" s="1"/>
      <c r="C165" s="1">
        <v>338.32</v>
      </c>
      <c r="H165">
        <f t="shared" si="2"/>
        <v>0</v>
      </c>
    </row>
    <row r="166" spans="1:8" x14ac:dyDescent="0.3">
      <c r="B166" s="1" t="s">
        <v>12</v>
      </c>
      <c r="C166" s="1">
        <v>2614.5300000000002</v>
      </c>
      <c r="D166" s="32">
        <v>3.2773344199999999E-3</v>
      </c>
      <c r="E166" s="26">
        <v>1.12524E-3</v>
      </c>
      <c r="H166">
        <f t="shared" si="2"/>
        <v>3.2773344199999999E-3</v>
      </c>
    </row>
    <row r="167" spans="1:8" x14ac:dyDescent="0.3">
      <c r="B167" s="1"/>
      <c r="C167" s="1">
        <v>583.19000000000005</v>
      </c>
      <c r="D167" s="25">
        <v>8.5736484699999998E-4</v>
      </c>
      <c r="E167" s="26">
        <v>1.5783100000000001E-3</v>
      </c>
      <c r="H167">
        <f t="shared" si="2"/>
        <v>1.5783100000000001E-3</v>
      </c>
    </row>
    <row r="168" spans="1:8" x14ac:dyDescent="0.3">
      <c r="B168" s="1"/>
      <c r="C168" s="1">
        <v>510.77</v>
      </c>
      <c r="D168" s="29">
        <v>2.2380000000000001E-2</v>
      </c>
      <c r="E168" s="26">
        <v>1.6E-2</v>
      </c>
      <c r="H168">
        <f t="shared" si="2"/>
        <v>2.2380000000000001E-2</v>
      </c>
    </row>
    <row r="169" spans="1:8" x14ac:dyDescent="0.3">
      <c r="B169" s="1"/>
      <c r="C169" s="1">
        <v>860.56</v>
      </c>
      <c r="H169">
        <f t="shared" si="2"/>
        <v>0</v>
      </c>
    </row>
    <row r="170" spans="1:8" x14ac:dyDescent="0.3">
      <c r="A170" t="s">
        <v>42</v>
      </c>
      <c r="B170" s="1" t="s">
        <v>7</v>
      </c>
      <c r="C170" s="1">
        <v>351.93</v>
      </c>
      <c r="D170" s="32">
        <v>3.7366954800000002E-3</v>
      </c>
      <c r="E170" s="26">
        <v>2.4599800000000001E-3</v>
      </c>
      <c r="H170">
        <f t="shared" si="2"/>
        <v>3.7366954800000002E-3</v>
      </c>
    </row>
    <row r="171" spans="1:8" x14ac:dyDescent="0.3">
      <c r="B171" s="1"/>
      <c r="C171" s="1">
        <v>295.22000000000003</v>
      </c>
      <c r="H171">
        <f t="shared" si="2"/>
        <v>0</v>
      </c>
    </row>
    <row r="172" spans="1:8" x14ac:dyDescent="0.3">
      <c r="B172" s="1" t="s">
        <v>8</v>
      </c>
      <c r="C172" s="23">
        <v>609.32000000000005</v>
      </c>
      <c r="H172">
        <f t="shared" si="2"/>
        <v>0</v>
      </c>
    </row>
    <row r="173" spans="1:8" x14ac:dyDescent="0.3">
      <c r="B173" s="1"/>
      <c r="C173" s="1">
        <v>1764.49</v>
      </c>
      <c r="H173">
        <f t="shared" si="2"/>
        <v>0</v>
      </c>
    </row>
    <row r="174" spans="1:8" x14ac:dyDescent="0.3">
      <c r="B174" s="1"/>
      <c r="C174" s="23">
        <v>1120.29</v>
      </c>
      <c r="H174">
        <f t="shared" si="2"/>
        <v>0</v>
      </c>
    </row>
    <row r="175" spans="1:8" x14ac:dyDescent="0.3">
      <c r="B175" s="1" t="s">
        <v>9</v>
      </c>
      <c r="C175" s="1">
        <v>1460.82</v>
      </c>
      <c r="D175" s="32">
        <v>5.4833190800000001E-3</v>
      </c>
      <c r="E175" s="26">
        <v>1.3240400000000001E-3</v>
      </c>
      <c r="H175">
        <f t="shared" si="2"/>
        <v>5.4833190800000001E-3</v>
      </c>
    </row>
    <row r="176" spans="1:8" x14ac:dyDescent="0.3">
      <c r="B176" s="1" t="s">
        <v>10</v>
      </c>
      <c r="C176" s="1">
        <v>238.63</v>
      </c>
      <c r="D176" s="32">
        <v>3.5433624699999998E-3</v>
      </c>
      <c r="E176" s="26">
        <v>2.9987999999999998E-3</v>
      </c>
      <c r="H176">
        <f t="shared" si="2"/>
        <v>3.5433624699999998E-3</v>
      </c>
    </row>
    <row r="177" spans="2:8" x14ac:dyDescent="0.3">
      <c r="B177" s="1" t="s">
        <v>11</v>
      </c>
      <c r="C177" s="1">
        <v>911.21</v>
      </c>
      <c r="H177">
        <f t="shared" si="2"/>
        <v>0</v>
      </c>
    </row>
    <row r="178" spans="2:8" x14ac:dyDescent="0.3">
      <c r="B178" s="1"/>
      <c r="C178" s="1">
        <v>968.97</v>
      </c>
      <c r="H178">
        <f t="shared" si="2"/>
        <v>0</v>
      </c>
    </row>
    <row r="179" spans="2:8" x14ac:dyDescent="0.3">
      <c r="B179" s="1"/>
      <c r="C179" s="1">
        <v>338.32</v>
      </c>
      <c r="H179">
        <f t="shared" si="2"/>
        <v>0</v>
      </c>
    </row>
    <row r="180" spans="2:8" x14ac:dyDescent="0.3">
      <c r="B180" s="1" t="s">
        <v>12</v>
      </c>
      <c r="C180" s="1">
        <v>2614.5300000000002</v>
      </c>
      <c r="D180" s="32">
        <v>5.2797408899999997E-3</v>
      </c>
      <c r="E180" s="26">
        <v>6.7206199999999996E-4</v>
      </c>
      <c r="H180">
        <f t="shared" si="2"/>
        <v>5.2797408899999997E-3</v>
      </c>
    </row>
    <row r="181" spans="2:8" x14ac:dyDescent="0.3">
      <c r="B181" s="1"/>
      <c r="C181" s="1">
        <v>583.19000000000005</v>
      </c>
      <c r="H181">
        <f t="shared" si="2"/>
        <v>0</v>
      </c>
    </row>
    <row r="182" spans="2:8" x14ac:dyDescent="0.3">
      <c r="B182" s="1"/>
      <c r="C182" s="1">
        <v>510.77</v>
      </c>
      <c r="D182" s="33">
        <v>2.1870000000000001E-2</v>
      </c>
      <c r="E182" s="26">
        <v>8.0000000000000002E-3</v>
      </c>
      <c r="H182">
        <f t="shared" si="2"/>
        <v>2.1870000000000001E-2</v>
      </c>
    </row>
    <row r="183" spans="2:8" x14ac:dyDescent="0.3">
      <c r="B183" s="1"/>
      <c r="C183" s="1">
        <v>860.56</v>
      </c>
      <c r="H183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11</vt:i4>
      </vt:variant>
    </vt:vector>
  </HeadingPairs>
  <TitlesOfParts>
    <vt:vector size="11" baseType="lpstr">
      <vt:lpstr>Data Evaluasi Akhir</vt:lpstr>
      <vt:lpstr>Rekapitulasi Akhir</vt:lpstr>
      <vt:lpstr>Sumber Standar</vt:lpstr>
      <vt:lpstr>Rekapitulasi Laju Cacah</vt:lpstr>
      <vt:lpstr>Rekapitulasi (kasar)</vt:lpstr>
      <vt:lpstr>Data mentah </vt:lpstr>
      <vt:lpstr>Sheet3</vt:lpstr>
      <vt:lpstr>Data mentah 2</vt:lpstr>
      <vt:lpstr>Sheet6</vt:lpstr>
      <vt:lpstr>bg</vt:lpstr>
      <vt:lpstr>bg 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Safit</dc:creator>
  <cp:lastModifiedBy>Ann Safit</cp:lastModifiedBy>
  <dcterms:created xsi:type="dcterms:W3CDTF">2024-02-05T14:52:12Z</dcterms:created>
  <dcterms:modified xsi:type="dcterms:W3CDTF">2026-03-25T16:09:45Z</dcterms:modified>
</cp:coreProperties>
</file>